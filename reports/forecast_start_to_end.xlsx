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hanh\AppData\Local\Temp\claude\C--Users-phanh-data-analysis-p-projects-the-look-ecommerce-new-analysis\8e1f489d-fc7b-4cd4-ab39-5bc9e024e49e\scratchpad\"/>
    </mc:Choice>
  </mc:AlternateContent>
  <xr:revisionPtr revIDLastSave="0" documentId="13_ncr:1_{8984D865-8BA3-4272-8A7A-F2E578806AB3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Guide" sheetId="1" r:id="rId1"/>
    <sheet name="Data" sheetId="2" r:id="rId2"/>
    <sheet name="Settings" sheetId="3" r:id="rId3"/>
    <sheet name="OneTest" sheetId="4" r:id="rId4"/>
    <sheet name="Backtest" sheetId="5" r:id="rId5"/>
    <sheet name="Scores" sheetId="6" r:id="rId6"/>
    <sheet name="OldDesign" sheetId="7" r:id="rId7"/>
    <sheet name="Forecast" sheetId="8" r:id="rId8"/>
    <sheet name="Scenarios" sheetId="9" r:id="rId9"/>
    <sheet name="CountrySplit" sheetId="10" r:id="rId10"/>
    <sheet name="VsPlan" sheetId="11" r:id="rId11"/>
    <sheet name="Checks" sheetId="12" r:id="rId12"/>
    <sheet name="ReviewChecks" sheetId="13" r:id="rId13"/>
    <sheet name="HW_Python" sheetId="14" r:id="rId14"/>
  </sheets>
  <definedNames>
    <definedName name="Champion">Scores!$C$10</definedName>
    <definedName name="ClipHigh">Settings!$C$10</definedName>
    <definedName name="ClipLow">Settings!$C$9</definedName>
    <definedName name="FcChosen">Forecast!$H$14:$H$21</definedName>
    <definedName name="FcMonths">Forecast!$B$14:$B$21</definedName>
    <definedName name="Horizon">Settings!$C$6</definedName>
    <definedName name="HWOffsets">HW_Python!$B$6:$B$37</definedName>
    <definedName name="HWOld">HW_Python!$C$42:$C$47</definedName>
    <definedName name="HWOldOffsets">HW_Python!$B$42:$B$47</definedName>
    <definedName name="HWProd">HW_Python!$C$52:$C$59</definedName>
    <definedName name="HWTable">HW_Python!$C$6:$J$37</definedName>
    <definedName name="LastMonth">Settings!$C$12</definedName>
    <definedName name="LogSales">Data!$E$7:$E$70</definedName>
    <definedName name="Margin">Data!$D$7:$D$70</definedName>
    <definedName name="MaxTests">Settings!$C$13</definedName>
    <definedName name="MinTrain">Settings!$C$8</definedName>
    <definedName name="Months">Data!$B$7:$B$70</definedName>
    <definedName name="NMonths">Settings!$C$11</definedName>
    <definedName name="Origins">Settings!$C$7</definedName>
    <definedName name="RowIdx">Data!$A$7:$A$70</definedName>
    <definedName name="Sales">Data!$C$7:$C$70</definedName>
    <definedName name="Season">Settings!$C$5</definedName>
    <definedName name="TestsUsed">Settings!$C$14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1" l="1"/>
  <c r="C33" i="11"/>
  <c r="C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H20" i="10"/>
  <c r="G20" i="10"/>
  <c r="F20" i="10"/>
  <c r="E20" i="10"/>
  <c r="D20" i="10"/>
  <c r="C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G24" i="9"/>
  <c r="G23" i="9"/>
  <c r="G22" i="9"/>
  <c r="F6" i="9"/>
  <c r="F24" i="9" s="1"/>
  <c r="E6" i="9"/>
  <c r="F23" i="9" s="1"/>
  <c r="D6" i="9"/>
  <c r="F22" i="9" s="1"/>
  <c r="C5" i="9"/>
  <c r="C21" i="8"/>
  <c r="C20" i="8"/>
  <c r="G20" i="8" s="1"/>
  <c r="C19" i="8"/>
  <c r="G19" i="8" s="1"/>
  <c r="C18" i="8"/>
  <c r="G18" i="8" s="1"/>
  <c r="C17" i="8"/>
  <c r="G17" i="8" s="1"/>
  <c r="C16" i="8"/>
  <c r="G16" i="8" s="1"/>
  <c r="C15" i="8"/>
  <c r="G15" i="8" s="1"/>
  <c r="C14" i="8"/>
  <c r="G14" i="8" s="1"/>
  <c r="E24" i="7"/>
  <c r="F23" i="7"/>
  <c r="E22" i="7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3" i="6"/>
  <c r="B22" i="6"/>
  <c r="B21" i="6"/>
  <c r="B20" i="6"/>
  <c r="B19" i="6"/>
  <c r="B18" i="6"/>
  <c r="B17" i="6"/>
  <c r="B16" i="6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241" i="5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26" i="4"/>
  <c r="B25" i="4"/>
  <c r="B24" i="4"/>
  <c r="B23" i="4"/>
  <c r="B22" i="4"/>
  <c r="B21" i="4"/>
  <c r="B20" i="4"/>
  <c r="B19" i="4"/>
  <c r="C11" i="3"/>
  <c r="C48" i="5" s="1"/>
  <c r="C8" i="3"/>
  <c r="E70" i="2"/>
  <c r="A70" i="2"/>
  <c r="F70" i="2" s="1"/>
  <c r="E69" i="2"/>
  <c r="A69" i="2"/>
  <c r="F69" i="2" s="1"/>
  <c r="E68" i="2"/>
  <c r="A68" i="2"/>
  <c r="F68" i="2" s="1"/>
  <c r="E67" i="2"/>
  <c r="A67" i="2"/>
  <c r="F67" i="2" s="1"/>
  <c r="E66" i="2"/>
  <c r="A66" i="2"/>
  <c r="F66" i="2" s="1"/>
  <c r="E65" i="2"/>
  <c r="A65" i="2"/>
  <c r="F65" i="2" s="1"/>
  <c r="E64" i="2"/>
  <c r="A64" i="2"/>
  <c r="F64" i="2" s="1"/>
  <c r="E63" i="2"/>
  <c r="A63" i="2"/>
  <c r="F63" i="2" s="1"/>
  <c r="E62" i="2"/>
  <c r="A62" i="2"/>
  <c r="F62" i="2" s="1"/>
  <c r="E61" i="2"/>
  <c r="A61" i="2"/>
  <c r="F61" i="2" s="1"/>
  <c r="E60" i="2"/>
  <c r="A60" i="2"/>
  <c r="F60" i="2" s="1"/>
  <c r="E59" i="2"/>
  <c r="A59" i="2"/>
  <c r="F59" i="2" s="1"/>
  <c r="E58" i="2"/>
  <c r="A58" i="2"/>
  <c r="F58" i="2" s="1"/>
  <c r="E57" i="2"/>
  <c r="A57" i="2"/>
  <c r="F57" i="2" s="1"/>
  <c r="E56" i="2"/>
  <c r="A56" i="2"/>
  <c r="F56" i="2" s="1"/>
  <c r="E55" i="2"/>
  <c r="A55" i="2"/>
  <c r="F55" i="2" s="1"/>
  <c r="E54" i="2"/>
  <c r="A54" i="2"/>
  <c r="F54" i="2" s="1"/>
  <c r="E53" i="2"/>
  <c r="A53" i="2"/>
  <c r="F53" i="2" s="1"/>
  <c r="E52" i="2"/>
  <c r="A52" i="2"/>
  <c r="F52" i="2" s="1"/>
  <c r="E51" i="2"/>
  <c r="A51" i="2"/>
  <c r="F51" i="2" s="1"/>
  <c r="E50" i="2"/>
  <c r="A50" i="2"/>
  <c r="F50" i="2" s="1"/>
  <c r="E49" i="2"/>
  <c r="A49" i="2"/>
  <c r="F49" i="2" s="1"/>
  <c r="E48" i="2"/>
  <c r="A48" i="2"/>
  <c r="F48" i="2" s="1"/>
  <c r="E47" i="2"/>
  <c r="A47" i="2"/>
  <c r="F47" i="2" s="1"/>
  <c r="E46" i="2"/>
  <c r="A46" i="2"/>
  <c r="F46" i="2" s="1"/>
  <c r="E45" i="2"/>
  <c r="A45" i="2"/>
  <c r="F45" i="2" s="1"/>
  <c r="E44" i="2"/>
  <c r="A44" i="2"/>
  <c r="F44" i="2" s="1"/>
  <c r="E43" i="2"/>
  <c r="A43" i="2"/>
  <c r="F43" i="2" s="1"/>
  <c r="E42" i="2"/>
  <c r="A42" i="2"/>
  <c r="F42" i="2" s="1"/>
  <c r="E41" i="2"/>
  <c r="A41" i="2"/>
  <c r="F41" i="2" s="1"/>
  <c r="E40" i="2"/>
  <c r="A40" i="2"/>
  <c r="F40" i="2" s="1"/>
  <c r="E39" i="2"/>
  <c r="A39" i="2"/>
  <c r="F39" i="2" s="1"/>
  <c r="E38" i="2"/>
  <c r="A38" i="2"/>
  <c r="F38" i="2" s="1"/>
  <c r="E37" i="2"/>
  <c r="A37" i="2"/>
  <c r="F37" i="2" s="1"/>
  <c r="E36" i="2"/>
  <c r="A36" i="2"/>
  <c r="F36" i="2" s="1"/>
  <c r="E35" i="2"/>
  <c r="A35" i="2"/>
  <c r="F35" i="2" s="1"/>
  <c r="E34" i="2"/>
  <c r="A34" i="2"/>
  <c r="F34" i="2" s="1"/>
  <c r="E33" i="2"/>
  <c r="A33" i="2"/>
  <c r="F33" i="2" s="1"/>
  <c r="E32" i="2"/>
  <c r="A32" i="2"/>
  <c r="F32" i="2" s="1"/>
  <c r="E31" i="2"/>
  <c r="A31" i="2"/>
  <c r="F31" i="2" s="1"/>
  <c r="E30" i="2"/>
  <c r="A30" i="2"/>
  <c r="F30" i="2" s="1"/>
  <c r="E29" i="2"/>
  <c r="A29" i="2"/>
  <c r="F29" i="2" s="1"/>
  <c r="E28" i="2"/>
  <c r="A28" i="2"/>
  <c r="F28" i="2" s="1"/>
  <c r="E27" i="2"/>
  <c r="A27" i="2"/>
  <c r="F27" i="2" s="1"/>
  <c r="E26" i="2"/>
  <c r="A26" i="2"/>
  <c r="F26" i="2" s="1"/>
  <c r="E25" i="2"/>
  <c r="A25" i="2"/>
  <c r="F25" i="2" s="1"/>
  <c r="E24" i="2"/>
  <c r="A24" i="2"/>
  <c r="F24" i="2" s="1"/>
  <c r="E23" i="2"/>
  <c r="A23" i="2"/>
  <c r="F23" i="2" s="1"/>
  <c r="E22" i="2"/>
  <c r="A22" i="2"/>
  <c r="F22" i="2" s="1"/>
  <c r="E21" i="2"/>
  <c r="A21" i="2"/>
  <c r="F21" i="2" s="1"/>
  <c r="E20" i="2"/>
  <c r="A20" i="2"/>
  <c r="F20" i="2" s="1"/>
  <c r="E19" i="2"/>
  <c r="A19" i="2"/>
  <c r="F19" i="2" s="1"/>
  <c r="E18" i="2"/>
  <c r="A18" i="2"/>
  <c r="F18" i="2" s="1"/>
  <c r="E17" i="2"/>
  <c r="A17" i="2"/>
  <c r="F17" i="2" s="1"/>
  <c r="E16" i="2"/>
  <c r="A16" i="2"/>
  <c r="F16" i="2" s="1"/>
  <c r="E15" i="2"/>
  <c r="A15" i="2"/>
  <c r="F15" i="2" s="1"/>
  <c r="E14" i="2"/>
  <c r="A14" i="2"/>
  <c r="F14" i="2" s="1"/>
  <c r="E13" i="2"/>
  <c r="A13" i="2"/>
  <c r="F13" i="2" s="1"/>
  <c r="E12" i="2"/>
  <c r="A12" i="2"/>
  <c r="F12" i="2" s="1"/>
  <c r="E11" i="2"/>
  <c r="A11" i="2"/>
  <c r="F11" i="2" s="1"/>
  <c r="E10" i="2"/>
  <c r="A10" i="2"/>
  <c r="F10" i="2" s="1"/>
  <c r="E9" i="2"/>
  <c r="A9" i="2"/>
  <c r="F9" i="2" s="1"/>
  <c r="E8" i="2"/>
  <c r="A8" i="2"/>
  <c r="F8" i="2" s="1"/>
  <c r="E7" i="2"/>
  <c r="A7" i="2"/>
  <c r="F7" i="2" s="1"/>
  <c r="C264" i="5" l="1"/>
  <c r="C263" i="5"/>
  <c r="C262" i="5"/>
  <c r="C183" i="5"/>
  <c r="C161" i="5"/>
  <c r="C158" i="5"/>
  <c r="C84" i="5"/>
  <c r="C81" i="5"/>
  <c r="C75" i="5"/>
  <c r="C65" i="5"/>
  <c r="C59" i="5"/>
  <c r="C52" i="5"/>
  <c r="C49" i="5"/>
  <c r="C34" i="5"/>
  <c r="C25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O237" i="5" s="1"/>
  <c r="C236" i="5"/>
  <c r="C235" i="5"/>
  <c r="C184" i="5"/>
  <c r="C159" i="5"/>
  <c r="C156" i="5"/>
  <c r="C78" i="5"/>
  <c r="C69" i="5"/>
  <c r="C66" i="5"/>
  <c r="C61" i="5"/>
  <c r="C56" i="5"/>
  <c r="C39" i="5"/>
  <c r="C31" i="5"/>
  <c r="C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185" i="5"/>
  <c r="C182" i="5"/>
  <c r="C160" i="5"/>
  <c r="C157" i="5"/>
  <c r="C71" i="5"/>
  <c r="C60" i="5"/>
  <c r="C54" i="5"/>
  <c r="C38" i="5"/>
  <c r="C33" i="5"/>
  <c r="C30" i="5"/>
  <c r="C27" i="5"/>
  <c r="C23" i="5"/>
  <c r="C80" i="5"/>
  <c r="F80" i="5" s="1"/>
  <c r="C53" i="5"/>
  <c r="C35" i="5"/>
  <c r="C32" i="5"/>
  <c r="C28" i="5"/>
  <c r="C24" i="5"/>
  <c r="C155" i="5"/>
  <c r="C82" i="5"/>
  <c r="C79" i="5"/>
  <c r="C76" i="5"/>
  <c r="C73" i="5"/>
  <c r="C70" i="5"/>
  <c r="C67" i="5"/>
  <c r="C64" i="5"/>
  <c r="C62" i="5"/>
  <c r="C58" i="5"/>
  <c r="C51" i="5"/>
  <c r="C36" i="5"/>
  <c r="C29" i="5"/>
  <c r="C95" i="5"/>
  <c r="C94" i="5"/>
  <c r="C93" i="5"/>
  <c r="C92" i="5"/>
  <c r="C91" i="5"/>
  <c r="C90" i="5"/>
  <c r="C89" i="5"/>
  <c r="C88" i="5"/>
  <c r="C87" i="5"/>
  <c r="C86" i="5"/>
  <c r="C85" i="5"/>
  <c r="C83" i="5"/>
  <c r="C77" i="5"/>
  <c r="C72" i="5"/>
  <c r="C68" i="5"/>
  <c r="C63" i="5"/>
  <c r="C57" i="5"/>
  <c r="C55" i="5"/>
  <c r="C50" i="5"/>
  <c r="C37" i="5"/>
  <c r="C26" i="5"/>
  <c r="F30" i="11"/>
  <c r="F29" i="11"/>
  <c r="F28" i="11"/>
  <c r="F27" i="11"/>
  <c r="F26" i="11"/>
  <c r="F25" i="11"/>
  <c r="F24" i="11"/>
  <c r="F23" i="11"/>
  <c r="F22" i="11"/>
  <c r="G22" i="11"/>
  <c r="G21" i="11"/>
  <c r="F21" i="11"/>
  <c r="F20" i="11"/>
  <c r="G20" i="11"/>
  <c r="F19" i="11"/>
  <c r="G19" i="11"/>
  <c r="G18" i="11"/>
  <c r="F18" i="11"/>
  <c r="F17" i="11"/>
  <c r="G17" i="11"/>
  <c r="G16" i="11"/>
  <c r="F16" i="11"/>
  <c r="F15" i="11"/>
  <c r="G15" i="11"/>
  <c r="F14" i="11"/>
  <c r="G14" i="11"/>
  <c r="F13" i="11"/>
  <c r="G13" i="11"/>
  <c r="G12" i="11"/>
  <c r="F12" i="11"/>
  <c r="G11" i="11"/>
  <c r="F11" i="11"/>
  <c r="G10" i="11"/>
  <c r="F10" i="11"/>
  <c r="F9" i="11"/>
  <c r="G9" i="11"/>
  <c r="F8" i="11"/>
  <c r="G8" i="11"/>
  <c r="G7" i="11"/>
  <c r="F7" i="11"/>
  <c r="I20" i="10"/>
  <c r="J7" i="10" s="1"/>
  <c r="I7" i="9"/>
  <c r="E24" i="9" s="1"/>
  <c r="G7" i="9"/>
  <c r="E22" i="9" s="1"/>
  <c r="H7" i="9"/>
  <c r="E23" i="9" s="1"/>
  <c r="D21" i="8"/>
  <c r="G21" i="8"/>
  <c r="G22" i="8" s="1"/>
  <c r="D14" i="7"/>
  <c r="K14" i="7"/>
  <c r="D13" i="7"/>
  <c r="K13" i="7"/>
  <c r="D12" i="7"/>
  <c r="K12" i="7"/>
  <c r="D11" i="7"/>
  <c r="K11" i="7"/>
  <c r="D10" i="7"/>
  <c r="K10" i="7"/>
  <c r="D9" i="7"/>
  <c r="K9" i="7"/>
  <c r="E56" i="6"/>
  <c r="E53" i="6"/>
  <c r="E52" i="6"/>
  <c r="E38" i="6"/>
  <c r="E31" i="6"/>
  <c r="O264" i="5"/>
  <c r="F264" i="5"/>
  <c r="O263" i="5"/>
  <c r="F263" i="5"/>
  <c r="F262" i="5"/>
  <c r="O262" i="5"/>
  <c r="F249" i="5"/>
  <c r="E59" i="6" s="1"/>
  <c r="O249" i="5"/>
  <c r="F248" i="5"/>
  <c r="O248" i="5"/>
  <c r="F247" i="5"/>
  <c r="O247" i="5"/>
  <c r="F246" i="5"/>
  <c r="O246" i="5"/>
  <c r="F245" i="5"/>
  <c r="O245" i="5"/>
  <c r="F244" i="5"/>
  <c r="O244" i="5"/>
  <c r="F243" i="5"/>
  <c r="O243" i="5"/>
  <c r="F242" i="5"/>
  <c r="O242" i="5"/>
  <c r="F241" i="5"/>
  <c r="E58" i="6" s="1"/>
  <c r="O241" i="5"/>
  <c r="F240" i="5"/>
  <c r="O240" i="5"/>
  <c r="F239" i="5"/>
  <c r="O239" i="5"/>
  <c r="F238" i="5"/>
  <c r="O238" i="5"/>
  <c r="F237" i="5"/>
  <c r="D84" i="5"/>
  <c r="E84" i="5" s="1"/>
  <c r="F84" i="5"/>
  <c r="O84" i="5"/>
  <c r="F81" i="5"/>
  <c r="O81" i="5"/>
  <c r="O80" i="5"/>
  <c r="O79" i="5"/>
  <c r="F79" i="5"/>
  <c r="F78" i="5"/>
  <c r="O78" i="5"/>
  <c r="O77" i="5"/>
  <c r="F77" i="5"/>
  <c r="D77" i="5"/>
  <c r="E77" i="5" s="1"/>
  <c r="O48" i="5"/>
  <c r="F48" i="5"/>
  <c r="F25" i="5"/>
  <c r="O25" i="5"/>
  <c r="C261" i="5"/>
  <c r="C260" i="5"/>
  <c r="F260" i="5" s="1"/>
  <c r="C259" i="5"/>
  <c r="F259" i="5" s="1"/>
  <c r="C258" i="5"/>
  <c r="F258" i="5" s="1"/>
  <c r="C257" i="5"/>
  <c r="F257" i="5" s="1"/>
  <c r="E60" i="6" s="1"/>
  <c r="C256" i="5"/>
  <c r="F256" i="5" s="1"/>
  <c r="C255" i="5"/>
  <c r="F255" i="5" s="1"/>
  <c r="C254" i="5"/>
  <c r="F254" i="5" s="1"/>
  <c r="C253" i="5"/>
  <c r="F253" i="5" s="1"/>
  <c r="C252" i="5"/>
  <c r="F252" i="5" s="1"/>
  <c r="C251" i="5"/>
  <c r="F251" i="5" s="1"/>
  <c r="C250" i="5"/>
  <c r="F250" i="5" s="1"/>
  <c r="C234" i="5"/>
  <c r="F234" i="5" s="1"/>
  <c r="C233" i="5"/>
  <c r="F233" i="5" s="1"/>
  <c r="E57" i="6" s="1"/>
  <c r="C232" i="5"/>
  <c r="F232" i="5" s="1"/>
  <c r="C186" i="5"/>
  <c r="F186" i="5"/>
  <c r="C187" i="5"/>
  <c r="F187" i="5"/>
  <c r="C188" i="5"/>
  <c r="F188" i="5" s="1"/>
  <c r="C189" i="5"/>
  <c r="F189" i="5"/>
  <c r="C190" i="5"/>
  <c r="F190" i="5" s="1"/>
  <c r="C191" i="5"/>
  <c r="F191" i="5" s="1"/>
  <c r="C192" i="5"/>
  <c r="F192" i="5" s="1"/>
  <c r="C181" i="5"/>
  <c r="F181" i="5" s="1"/>
  <c r="C180" i="5"/>
  <c r="F180" i="5" s="1"/>
  <c r="C179" i="5"/>
  <c r="F179" i="5" s="1"/>
  <c r="C178" i="5"/>
  <c r="F178" i="5" s="1"/>
  <c r="C177" i="5"/>
  <c r="F177" i="5" s="1"/>
  <c r="E50" i="6" s="1"/>
  <c r="C176" i="5"/>
  <c r="F176" i="5" s="1"/>
  <c r="C175" i="5"/>
  <c r="F175" i="5" s="1"/>
  <c r="C174" i="5"/>
  <c r="F174" i="5" s="1"/>
  <c r="C173" i="5"/>
  <c r="F173" i="5" s="1"/>
  <c r="C172" i="5"/>
  <c r="F172" i="5" s="1"/>
  <c r="C171" i="5"/>
  <c r="F171" i="5" s="1"/>
  <c r="C170" i="5"/>
  <c r="F170" i="5" s="1"/>
  <c r="C169" i="5"/>
  <c r="F169" i="5" s="1"/>
  <c r="E49" i="6" s="1"/>
  <c r="C168" i="5"/>
  <c r="F168" i="5" s="1"/>
  <c r="C167" i="5"/>
  <c r="F167" i="5" s="1"/>
  <c r="C166" i="5"/>
  <c r="F166" i="5" s="1"/>
  <c r="C165" i="5"/>
  <c r="F165" i="5" s="1"/>
  <c r="C164" i="5"/>
  <c r="F164" i="5" s="1"/>
  <c r="C163" i="5"/>
  <c r="F163" i="5" s="1"/>
  <c r="C162" i="5"/>
  <c r="F162" i="5" s="1"/>
  <c r="C193" i="5"/>
  <c r="F193" i="5"/>
  <c r="C194" i="5"/>
  <c r="F194" i="5"/>
  <c r="C195" i="5"/>
  <c r="F195" i="5"/>
  <c r="C196" i="5"/>
  <c r="F196" i="5"/>
  <c r="C197" i="5"/>
  <c r="F197" i="5"/>
  <c r="C198" i="5"/>
  <c r="F198" i="5"/>
  <c r="C199" i="5"/>
  <c r="F199" i="5"/>
  <c r="C200" i="5"/>
  <c r="F200" i="5"/>
  <c r="C201" i="5"/>
  <c r="F201" i="5"/>
  <c r="C202" i="5"/>
  <c r="F202" i="5" s="1"/>
  <c r="C154" i="5"/>
  <c r="F154" i="5" s="1"/>
  <c r="C153" i="5"/>
  <c r="F153" i="5" s="1"/>
  <c r="E47" i="6" s="1"/>
  <c r="C152" i="5"/>
  <c r="F152" i="5" s="1"/>
  <c r="C151" i="5"/>
  <c r="F151" i="5" s="1"/>
  <c r="C150" i="5"/>
  <c r="F150" i="5" s="1"/>
  <c r="C149" i="5"/>
  <c r="F149" i="5" s="1"/>
  <c r="C148" i="5"/>
  <c r="F148" i="5" s="1"/>
  <c r="C147" i="5"/>
  <c r="F147" i="5" s="1"/>
  <c r="C146" i="5"/>
  <c r="F146" i="5" s="1"/>
  <c r="C145" i="5"/>
  <c r="F145" i="5" s="1"/>
  <c r="E46" i="6" s="1"/>
  <c r="C144" i="5"/>
  <c r="F144" i="5" s="1"/>
  <c r="C143" i="5"/>
  <c r="F143" i="5" s="1"/>
  <c r="C142" i="5"/>
  <c r="F142" i="5" s="1"/>
  <c r="C141" i="5"/>
  <c r="F141" i="5" s="1"/>
  <c r="C140" i="5"/>
  <c r="F140" i="5" s="1"/>
  <c r="C139" i="5"/>
  <c r="F139" i="5" s="1"/>
  <c r="C138" i="5"/>
  <c r="F138" i="5" s="1"/>
  <c r="C137" i="5"/>
  <c r="F137" i="5" s="1"/>
  <c r="E45" i="6" s="1"/>
  <c r="C136" i="5"/>
  <c r="F136" i="5" s="1"/>
  <c r="C135" i="5"/>
  <c r="F135" i="5" s="1"/>
  <c r="C134" i="5"/>
  <c r="F134" i="5" s="1"/>
  <c r="C133" i="5"/>
  <c r="F133" i="5" s="1"/>
  <c r="C132" i="5"/>
  <c r="F132" i="5" s="1"/>
  <c r="C131" i="5"/>
  <c r="F131" i="5" s="1"/>
  <c r="C130" i="5"/>
  <c r="F130" i="5" s="1"/>
  <c r="C129" i="5"/>
  <c r="F129" i="5" s="1"/>
  <c r="E44" i="6" s="1"/>
  <c r="C128" i="5"/>
  <c r="F128" i="5" s="1"/>
  <c r="F98" i="5"/>
  <c r="F96" i="5"/>
  <c r="C203" i="5"/>
  <c r="F203" i="5"/>
  <c r="C127" i="5"/>
  <c r="F127" i="5" s="1"/>
  <c r="C125" i="5"/>
  <c r="F125" i="5" s="1"/>
  <c r="C124" i="5"/>
  <c r="F124" i="5" s="1"/>
  <c r="C123" i="5"/>
  <c r="F123" i="5" s="1"/>
  <c r="C122" i="5"/>
  <c r="F122" i="5" s="1"/>
  <c r="C121" i="5"/>
  <c r="F121" i="5" s="1"/>
  <c r="E43" i="6" s="1"/>
  <c r="C120" i="5"/>
  <c r="F120" i="5" s="1"/>
  <c r="C119" i="5"/>
  <c r="F119" i="5" s="1"/>
  <c r="C118" i="5"/>
  <c r="F118" i="5" s="1"/>
  <c r="C117" i="5"/>
  <c r="F117" i="5" s="1"/>
  <c r="C116" i="5"/>
  <c r="F116" i="5" s="1"/>
  <c r="C115" i="5"/>
  <c r="F115" i="5" s="1"/>
  <c r="C114" i="5"/>
  <c r="F114" i="5" s="1"/>
  <c r="C113" i="5"/>
  <c r="F113" i="5" s="1"/>
  <c r="E42" i="6" s="1"/>
  <c r="C112" i="5"/>
  <c r="F112" i="5" s="1"/>
  <c r="C111" i="5"/>
  <c r="F111" i="5" s="1"/>
  <c r="C110" i="5"/>
  <c r="F110" i="5" s="1"/>
  <c r="C109" i="5"/>
  <c r="F109" i="5" s="1"/>
  <c r="K36" i="14"/>
  <c r="C107" i="5"/>
  <c r="F107" i="5" s="1"/>
  <c r="C106" i="5"/>
  <c r="F106" i="5" s="1"/>
  <c r="C105" i="5"/>
  <c r="F105" i="5" s="1"/>
  <c r="E41" i="6" s="1"/>
  <c r="C104" i="5"/>
  <c r="F104" i="5" s="1"/>
  <c r="C103" i="5"/>
  <c r="F103" i="5" s="1"/>
  <c r="C102" i="5"/>
  <c r="F102" i="5" s="1"/>
  <c r="C100" i="5"/>
  <c r="F100" i="5" s="1"/>
  <c r="C99" i="5"/>
  <c r="F99" i="5" s="1"/>
  <c r="C98" i="5"/>
  <c r="C97" i="5"/>
  <c r="F97" i="5" s="1"/>
  <c r="E40" i="6" s="1"/>
  <c r="C96" i="5"/>
  <c r="K35" i="14"/>
  <c r="K34" i="14"/>
  <c r="C126" i="5"/>
  <c r="F126" i="5" s="1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C101" i="5"/>
  <c r="F101" i="5" s="1"/>
  <c r="C74" i="5"/>
  <c r="F74" i="5" s="1"/>
  <c r="K16" i="14"/>
  <c r="K15" i="14"/>
  <c r="K14" i="14"/>
  <c r="C204" i="5"/>
  <c r="F204" i="5"/>
  <c r="C205" i="5"/>
  <c r="F205" i="5"/>
  <c r="C206" i="5"/>
  <c r="F206" i="5"/>
  <c r="C207" i="5"/>
  <c r="F207" i="5"/>
  <c r="K13" i="14"/>
  <c r="C222" i="5"/>
  <c r="F222" i="5"/>
  <c r="C223" i="5"/>
  <c r="F223" i="5"/>
  <c r="C224" i="5"/>
  <c r="F224" i="5"/>
  <c r="C225" i="5"/>
  <c r="F225" i="5"/>
  <c r="C226" i="5"/>
  <c r="F226" i="5"/>
  <c r="C227" i="5"/>
  <c r="F227" i="5" s="1"/>
  <c r="C47" i="5"/>
  <c r="F47" i="5" s="1"/>
  <c r="C46" i="5"/>
  <c r="F46" i="5" s="1"/>
  <c r="C45" i="5"/>
  <c r="F45" i="5" s="1"/>
  <c r="C44" i="5"/>
  <c r="F44" i="5" s="1"/>
  <c r="C43" i="5"/>
  <c r="F43" i="5" s="1"/>
  <c r="C42" i="5"/>
  <c r="F42" i="5" s="1"/>
  <c r="C41" i="5"/>
  <c r="F41" i="5" s="1"/>
  <c r="E33" i="6" s="1"/>
  <c r="C40" i="5"/>
  <c r="F40" i="5" s="1"/>
  <c r="K12" i="14"/>
  <c r="K11" i="14"/>
  <c r="K10" i="14"/>
  <c r="K9" i="14"/>
  <c r="K8" i="14"/>
  <c r="K7" i="14"/>
  <c r="K6" i="14"/>
  <c r="D20" i="8"/>
  <c r="D19" i="8"/>
  <c r="D18" i="8"/>
  <c r="D17" i="8"/>
  <c r="D16" i="8"/>
  <c r="D15" i="8"/>
  <c r="D14" i="8"/>
  <c r="C8" i="8"/>
  <c r="C7" i="8"/>
  <c r="C9" i="8" s="1"/>
  <c r="K37" i="14"/>
  <c r="C108" i="5"/>
  <c r="F108" i="5" s="1"/>
  <c r="C228" i="5"/>
  <c r="F228" i="5" s="1"/>
  <c r="C229" i="5"/>
  <c r="F229" i="5"/>
  <c r="C230" i="5"/>
  <c r="F230" i="5" s="1"/>
  <c r="C231" i="5"/>
  <c r="F231" i="5" s="1"/>
  <c r="C21" i="5"/>
  <c r="F21" i="5" s="1"/>
  <c r="C20" i="5"/>
  <c r="F20" i="5" s="1"/>
  <c r="C19" i="5"/>
  <c r="F19" i="5" s="1"/>
  <c r="C18" i="5"/>
  <c r="F18" i="5" s="1"/>
  <c r="C17" i="5"/>
  <c r="F17" i="5" s="1"/>
  <c r="E30" i="6" s="1"/>
  <c r="C16" i="5"/>
  <c r="F16" i="5" s="1"/>
  <c r="C15" i="5"/>
  <c r="F15" i="5" s="1"/>
  <c r="C14" i="5"/>
  <c r="F14" i="5" s="1"/>
  <c r="C13" i="5"/>
  <c r="F13" i="5" s="1"/>
  <c r="C12" i="5"/>
  <c r="F12" i="5" s="1"/>
  <c r="C11" i="5"/>
  <c r="F11" i="5" s="1"/>
  <c r="C10" i="5"/>
  <c r="F10" i="5" s="1"/>
  <c r="C9" i="5"/>
  <c r="F9" i="5" s="1"/>
  <c r="E29" i="6" s="1"/>
  <c r="C13" i="3"/>
  <c r="C14" i="3" s="1"/>
  <c r="D48" i="5" s="1"/>
  <c r="E48" i="5" s="1"/>
  <c r="C12" i="3"/>
  <c r="D183" i="5" l="1"/>
  <c r="E183" i="5" s="1"/>
  <c r="F183" i="5"/>
  <c r="O183" i="5"/>
  <c r="D161" i="5"/>
  <c r="E161" i="5" s="1"/>
  <c r="C48" i="6" s="1"/>
  <c r="O161" i="5"/>
  <c r="F161" i="5"/>
  <c r="D158" i="5"/>
  <c r="E158" i="5" s="1"/>
  <c r="F158" i="5"/>
  <c r="O158" i="5"/>
  <c r="O75" i="5"/>
  <c r="D75" i="5"/>
  <c r="E75" i="5" s="1"/>
  <c r="F75" i="5"/>
  <c r="F65" i="5"/>
  <c r="D65" i="5"/>
  <c r="E65" i="5" s="1"/>
  <c r="C36" i="6" s="1"/>
  <c r="O65" i="5"/>
  <c r="D59" i="5"/>
  <c r="E59" i="5" s="1"/>
  <c r="F59" i="5"/>
  <c r="O59" i="5"/>
  <c r="F52" i="5"/>
  <c r="O52" i="5"/>
  <c r="D52" i="5"/>
  <c r="E52" i="5" s="1"/>
  <c r="D49" i="5"/>
  <c r="E49" i="5" s="1"/>
  <c r="C34" i="6" s="1"/>
  <c r="F49" i="5"/>
  <c r="O49" i="5"/>
  <c r="O34" i="5"/>
  <c r="F34" i="5"/>
  <c r="D34" i="5"/>
  <c r="E34" i="5" s="1"/>
  <c r="F236" i="5"/>
  <c r="O236" i="5"/>
  <c r="F235" i="5"/>
  <c r="O235" i="5"/>
  <c r="D184" i="5"/>
  <c r="E184" i="5" s="1"/>
  <c r="O184" i="5"/>
  <c r="F184" i="5"/>
  <c r="O159" i="5"/>
  <c r="F159" i="5"/>
  <c r="D159" i="5"/>
  <c r="E159" i="5" s="1"/>
  <c r="F156" i="5"/>
  <c r="D156" i="5"/>
  <c r="E156" i="5" s="1"/>
  <c r="O156" i="5"/>
  <c r="D69" i="5"/>
  <c r="E69" i="5" s="1"/>
  <c r="F69" i="5"/>
  <c r="O69" i="5"/>
  <c r="D66" i="5"/>
  <c r="E66" i="5" s="1"/>
  <c r="F66" i="5"/>
  <c r="O66" i="5"/>
  <c r="O61" i="5"/>
  <c r="D61" i="5"/>
  <c r="E61" i="5" s="1"/>
  <c r="F61" i="5"/>
  <c r="D56" i="5"/>
  <c r="E56" i="5" s="1"/>
  <c r="F56" i="5"/>
  <c r="O56" i="5"/>
  <c r="O39" i="5"/>
  <c r="F39" i="5"/>
  <c r="D39" i="5"/>
  <c r="E39" i="5" s="1"/>
  <c r="D31" i="5"/>
  <c r="E31" i="5" s="1"/>
  <c r="F31" i="5"/>
  <c r="O31" i="5"/>
  <c r="O22" i="5"/>
  <c r="F22" i="5"/>
  <c r="O221" i="5"/>
  <c r="F221" i="5"/>
  <c r="O220" i="5"/>
  <c r="F220" i="5"/>
  <c r="O219" i="5"/>
  <c r="F219" i="5"/>
  <c r="O218" i="5"/>
  <c r="F218" i="5"/>
  <c r="O217" i="5"/>
  <c r="F217" i="5"/>
  <c r="F216" i="5"/>
  <c r="O216" i="5"/>
  <c r="F215" i="5"/>
  <c r="O215" i="5"/>
  <c r="F214" i="5"/>
  <c r="O214" i="5"/>
  <c r="F213" i="5"/>
  <c r="O213" i="5"/>
  <c r="O212" i="5"/>
  <c r="F212" i="5"/>
  <c r="O211" i="5"/>
  <c r="F211" i="5"/>
  <c r="D211" i="5"/>
  <c r="E211" i="5" s="1"/>
  <c r="D210" i="5"/>
  <c r="E210" i="5" s="1"/>
  <c r="F210" i="5"/>
  <c r="O210" i="5"/>
  <c r="D209" i="5"/>
  <c r="E209" i="5" s="1"/>
  <c r="C54" i="6" s="1"/>
  <c r="F209" i="5"/>
  <c r="O209" i="5"/>
  <c r="D208" i="5"/>
  <c r="E208" i="5" s="1"/>
  <c r="F208" i="5"/>
  <c r="O208" i="5"/>
  <c r="D185" i="5"/>
  <c r="E185" i="5" s="1"/>
  <c r="C51" i="6" s="1"/>
  <c r="F185" i="5"/>
  <c r="O185" i="5"/>
  <c r="D182" i="5"/>
  <c r="E182" i="5" s="1"/>
  <c r="F182" i="5"/>
  <c r="O182" i="5"/>
  <c r="D160" i="5"/>
  <c r="E160" i="5" s="1"/>
  <c r="F160" i="5"/>
  <c r="O160" i="5"/>
  <c r="O157" i="5"/>
  <c r="F157" i="5"/>
  <c r="D157" i="5"/>
  <c r="E157" i="5" s="1"/>
  <c r="D71" i="5"/>
  <c r="E71" i="5" s="1"/>
  <c r="F71" i="5"/>
  <c r="O71" i="5"/>
  <c r="F60" i="5"/>
  <c r="O60" i="5"/>
  <c r="D60" i="5"/>
  <c r="E60" i="5" s="1"/>
  <c r="O54" i="5"/>
  <c r="D54" i="5"/>
  <c r="E54" i="5" s="1"/>
  <c r="F54" i="5"/>
  <c r="F38" i="5"/>
  <c r="D38" i="5"/>
  <c r="E38" i="5" s="1"/>
  <c r="O38" i="5"/>
  <c r="O33" i="5"/>
  <c r="F33" i="5"/>
  <c r="D33" i="5"/>
  <c r="E33" i="5" s="1"/>
  <c r="C32" i="6" s="1"/>
  <c r="O30" i="5"/>
  <c r="D30" i="5"/>
  <c r="E30" i="5" s="1"/>
  <c r="F30" i="5"/>
  <c r="O27" i="5"/>
  <c r="F27" i="5"/>
  <c r="O23" i="5"/>
  <c r="F23" i="5"/>
  <c r="D53" i="5"/>
  <c r="E53" i="5" s="1"/>
  <c r="F53" i="5"/>
  <c r="O53" i="5"/>
  <c r="D35" i="5"/>
  <c r="E35" i="5" s="1"/>
  <c r="F35" i="5"/>
  <c r="O35" i="5"/>
  <c r="O32" i="5"/>
  <c r="F32" i="5"/>
  <c r="D32" i="5"/>
  <c r="E32" i="5" s="1"/>
  <c r="O28" i="5"/>
  <c r="D28" i="5"/>
  <c r="E28" i="5" s="1"/>
  <c r="F28" i="5"/>
  <c r="F24" i="5"/>
  <c r="O24" i="5"/>
  <c r="O155" i="5"/>
  <c r="D155" i="5"/>
  <c r="E155" i="5" s="1"/>
  <c r="F155" i="5"/>
  <c r="F82" i="5"/>
  <c r="O82" i="5"/>
  <c r="O76" i="5"/>
  <c r="D76" i="5"/>
  <c r="E76" i="5" s="1"/>
  <c r="F76" i="5"/>
  <c r="D73" i="5"/>
  <c r="E73" i="5" s="1"/>
  <c r="C37" i="6" s="1"/>
  <c r="O73" i="5"/>
  <c r="F73" i="5"/>
  <c r="D70" i="5"/>
  <c r="E70" i="5" s="1"/>
  <c r="O70" i="5"/>
  <c r="F70" i="5"/>
  <c r="D67" i="5"/>
  <c r="E67" i="5" s="1"/>
  <c r="F67" i="5"/>
  <c r="O67" i="5"/>
  <c r="O64" i="5"/>
  <c r="F64" i="5"/>
  <c r="D64" i="5"/>
  <c r="E64" i="5" s="1"/>
  <c r="D62" i="5"/>
  <c r="E62" i="5" s="1"/>
  <c r="F62" i="5"/>
  <c r="O62" i="5"/>
  <c r="D58" i="5"/>
  <c r="E58" i="5" s="1"/>
  <c r="O58" i="5"/>
  <c r="F58" i="5"/>
  <c r="O51" i="5"/>
  <c r="D51" i="5"/>
  <c r="E51" i="5" s="1"/>
  <c r="F51" i="5"/>
  <c r="D36" i="5"/>
  <c r="E36" i="5" s="1"/>
  <c r="F36" i="5"/>
  <c r="O36" i="5"/>
  <c r="O29" i="5"/>
  <c r="F29" i="5"/>
  <c r="D29" i="5"/>
  <c r="E29" i="5" s="1"/>
  <c r="O95" i="5"/>
  <c r="D95" i="5"/>
  <c r="E95" i="5" s="1"/>
  <c r="F95" i="5"/>
  <c r="O94" i="5"/>
  <c r="D94" i="5"/>
  <c r="E94" i="5" s="1"/>
  <c r="F94" i="5"/>
  <c r="F93" i="5"/>
  <c r="O93" i="5"/>
  <c r="D93" i="5"/>
  <c r="E93" i="5" s="1"/>
  <c r="F92" i="5"/>
  <c r="O92" i="5"/>
  <c r="D92" i="5"/>
  <c r="E92" i="5" s="1"/>
  <c r="F91" i="5"/>
  <c r="O91" i="5"/>
  <c r="D91" i="5"/>
  <c r="E91" i="5" s="1"/>
  <c r="F90" i="5"/>
  <c r="O90" i="5"/>
  <c r="D90" i="5"/>
  <c r="E90" i="5" s="1"/>
  <c r="F89" i="5"/>
  <c r="O89" i="5"/>
  <c r="D89" i="5"/>
  <c r="E89" i="5" s="1"/>
  <c r="C39" i="6" s="1"/>
  <c r="D88" i="5"/>
  <c r="E88" i="5" s="1"/>
  <c r="O88" i="5"/>
  <c r="F88" i="5"/>
  <c r="D87" i="5"/>
  <c r="E87" i="5" s="1"/>
  <c r="O87" i="5"/>
  <c r="F87" i="5"/>
  <c r="D86" i="5"/>
  <c r="E86" i="5" s="1"/>
  <c r="O86" i="5"/>
  <c r="F86" i="5"/>
  <c r="F85" i="5"/>
  <c r="D85" i="5"/>
  <c r="E85" i="5" s="1"/>
  <c r="O85" i="5"/>
  <c r="O83" i="5"/>
  <c r="D83" i="5"/>
  <c r="E83" i="5" s="1"/>
  <c r="F83" i="5"/>
  <c r="O72" i="5"/>
  <c r="D72" i="5"/>
  <c r="E72" i="5" s="1"/>
  <c r="F72" i="5"/>
  <c r="O68" i="5"/>
  <c r="D68" i="5"/>
  <c r="E68" i="5" s="1"/>
  <c r="F68" i="5"/>
  <c r="O63" i="5"/>
  <c r="D63" i="5"/>
  <c r="E63" i="5" s="1"/>
  <c r="F63" i="5"/>
  <c r="F57" i="5"/>
  <c r="D57" i="5"/>
  <c r="E57" i="5" s="1"/>
  <c r="C35" i="6" s="1"/>
  <c r="O57" i="5"/>
  <c r="O55" i="5"/>
  <c r="D55" i="5"/>
  <c r="E55" i="5" s="1"/>
  <c r="F55" i="5"/>
  <c r="F50" i="5"/>
  <c r="O50" i="5"/>
  <c r="D50" i="5"/>
  <c r="E50" i="5" s="1"/>
  <c r="O37" i="5"/>
  <c r="F37" i="5"/>
  <c r="D37" i="5"/>
  <c r="E37" i="5" s="1"/>
  <c r="F26" i="5"/>
  <c r="O26" i="5"/>
  <c r="H22" i="11"/>
  <c r="I22" i="11"/>
  <c r="H21" i="11"/>
  <c r="I21" i="11"/>
  <c r="H20" i="11"/>
  <c r="I20" i="11"/>
  <c r="H19" i="11"/>
  <c r="I19" i="11"/>
  <c r="H18" i="11"/>
  <c r="I18" i="11"/>
  <c r="H17" i="11"/>
  <c r="I17" i="11"/>
  <c r="I16" i="11"/>
  <c r="H16" i="11"/>
  <c r="H15" i="11"/>
  <c r="I15" i="11"/>
  <c r="H14" i="11"/>
  <c r="I14" i="11"/>
  <c r="H13" i="11"/>
  <c r="I13" i="11"/>
  <c r="I12" i="11"/>
  <c r="H12" i="11"/>
  <c r="H11" i="11"/>
  <c r="I11" i="11"/>
  <c r="H10" i="11"/>
  <c r="I10" i="11"/>
  <c r="H9" i="11"/>
  <c r="I9" i="11"/>
  <c r="I8" i="11"/>
  <c r="H8" i="11"/>
  <c r="I7" i="11"/>
  <c r="H7" i="11"/>
  <c r="J8" i="10"/>
  <c r="C27" i="10" s="1"/>
  <c r="J9" i="10"/>
  <c r="C28" i="10" s="1"/>
  <c r="J10" i="10"/>
  <c r="C29" i="10" s="1"/>
  <c r="J11" i="10"/>
  <c r="C30" i="10" s="1"/>
  <c r="J12" i="10"/>
  <c r="C31" i="10" s="1"/>
  <c r="J13" i="10"/>
  <c r="C32" i="10" s="1"/>
  <c r="J14" i="10"/>
  <c r="C33" i="10" s="1"/>
  <c r="J15" i="10"/>
  <c r="C34" i="10" s="1"/>
  <c r="J16" i="10"/>
  <c r="C35" i="10" s="1"/>
  <c r="J17" i="10"/>
  <c r="C36" i="10" s="1"/>
  <c r="J18" i="10"/>
  <c r="C37" i="10" s="1"/>
  <c r="J19" i="10"/>
  <c r="C38" i="10" s="1"/>
  <c r="J20" i="10"/>
  <c r="C26" i="10"/>
  <c r="I21" i="8"/>
  <c r="E21" i="8"/>
  <c r="E14" i="7"/>
  <c r="F14" i="7"/>
  <c r="N14" i="7" s="1"/>
  <c r="G14" i="7"/>
  <c r="H14" i="7"/>
  <c r="I14" i="7" s="1"/>
  <c r="E13" i="7"/>
  <c r="F13" i="7"/>
  <c r="N13" i="7" s="1"/>
  <c r="G13" i="7"/>
  <c r="H13" i="7"/>
  <c r="I13" i="7" s="1"/>
  <c r="E12" i="7"/>
  <c r="F12" i="7"/>
  <c r="N12" i="7" s="1"/>
  <c r="G12" i="7"/>
  <c r="H12" i="7"/>
  <c r="I12" i="7" s="1"/>
  <c r="E11" i="7"/>
  <c r="F11" i="7"/>
  <c r="N11" i="7" s="1"/>
  <c r="G11" i="7"/>
  <c r="H11" i="7"/>
  <c r="I11" i="7" s="1"/>
  <c r="E10" i="7"/>
  <c r="F10" i="7"/>
  <c r="N10" i="7" s="1"/>
  <c r="G10" i="7"/>
  <c r="H10" i="7"/>
  <c r="I10" i="7" s="1"/>
  <c r="E9" i="7"/>
  <c r="F9" i="7"/>
  <c r="G9" i="7"/>
  <c r="H9" i="7"/>
  <c r="I9" i="7" s="1"/>
  <c r="N9" i="7"/>
  <c r="F22" i="13"/>
  <c r="F19" i="13"/>
  <c r="F20" i="13"/>
  <c r="L264" i="5"/>
  <c r="M264" i="5" s="1"/>
  <c r="H264" i="5"/>
  <c r="G264" i="5"/>
  <c r="G263" i="5"/>
  <c r="L263" i="5"/>
  <c r="M263" i="5" s="1"/>
  <c r="H263" i="5"/>
  <c r="G262" i="5"/>
  <c r="H262" i="5"/>
  <c r="L262" i="5"/>
  <c r="M262" i="5" s="1"/>
  <c r="G249" i="5"/>
  <c r="D59" i="6" s="1"/>
  <c r="H249" i="5"/>
  <c r="L249" i="5"/>
  <c r="M249" i="5" s="1"/>
  <c r="G248" i="5"/>
  <c r="H248" i="5"/>
  <c r="L248" i="5"/>
  <c r="M248" i="5" s="1"/>
  <c r="G247" i="5"/>
  <c r="H247" i="5"/>
  <c r="L247" i="5"/>
  <c r="M247" i="5" s="1"/>
  <c r="G246" i="5"/>
  <c r="H246" i="5"/>
  <c r="L246" i="5"/>
  <c r="M246" i="5" s="1"/>
  <c r="G245" i="5"/>
  <c r="H245" i="5"/>
  <c r="L245" i="5"/>
  <c r="M245" i="5" s="1"/>
  <c r="G244" i="5"/>
  <c r="H244" i="5"/>
  <c r="L244" i="5"/>
  <c r="M244" i="5" s="1"/>
  <c r="G243" i="5"/>
  <c r="H243" i="5"/>
  <c r="L243" i="5"/>
  <c r="M243" i="5" s="1"/>
  <c r="G242" i="5"/>
  <c r="H242" i="5"/>
  <c r="L242" i="5"/>
  <c r="M242" i="5" s="1"/>
  <c r="G241" i="5"/>
  <c r="D58" i="6" s="1"/>
  <c r="H241" i="5"/>
  <c r="L241" i="5"/>
  <c r="M241" i="5" s="1"/>
  <c r="G240" i="5"/>
  <c r="H240" i="5"/>
  <c r="L240" i="5"/>
  <c r="M240" i="5" s="1"/>
  <c r="G239" i="5"/>
  <c r="H239" i="5"/>
  <c r="L239" i="5"/>
  <c r="M239" i="5" s="1"/>
  <c r="G238" i="5"/>
  <c r="H238" i="5"/>
  <c r="L238" i="5"/>
  <c r="M238" i="5" s="1"/>
  <c r="G237" i="5"/>
  <c r="H237" i="5"/>
  <c r="L237" i="5"/>
  <c r="M237" i="5" s="1"/>
  <c r="G84" i="5"/>
  <c r="H84" i="5"/>
  <c r="L84" i="5"/>
  <c r="M84" i="5" s="1"/>
  <c r="H82" i="5"/>
  <c r="L82" i="5"/>
  <c r="M82" i="5" s="1"/>
  <c r="G82" i="5"/>
  <c r="H81" i="5"/>
  <c r="G81" i="5"/>
  <c r="D38" i="6" s="1"/>
  <c r="L81" i="5"/>
  <c r="M81" i="5" s="1"/>
  <c r="G80" i="5"/>
  <c r="H80" i="5"/>
  <c r="L80" i="5"/>
  <c r="M80" i="5" s="1"/>
  <c r="H79" i="5"/>
  <c r="L79" i="5"/>
  <c r="M79" i="5" s="1"/>
  <c r="G79" i="5"/>
  <c r="L78" i="5"/>
  <c r="M78" i="5" s="1"/>
  <c r="G78" i="5"/>
  <c r="H78" i="5"/>
  <c r="H77" i="5"/>
  <c r="L77" i="5"/>
  <c r="M77" i="5" s="1"/>
  <c r="G77" i="5"/>
  <c r="H76" i="5"/>
  <c r="G76" i="5"/>
  <c r="L76" i="5"/>
  <c r="M76" i="5" s="1"/>
  <c r="G53" i="5"/>
  <c r="H53" i="5"/>
  <c r="L53" i="5"/>
  <c r="M53" i="5" s="1"/>
  <c r="G48" i="5"/>
  <c r="L48" i="5"/>
  <c r="M48" i="5" s="1"/>
  <c r="H48" i="5"/>
  <c r="G36" i="5"/>
  <c r="H36" i="5"/>
  <c r="L36" i="5"/>
  <c r="M36" i="5" s="1"/>
  <c r="G35" i="5"/>
  <c r="H35" i="5"/>
  <c r="L35" i="5"/>
  <c r="M35" i="5" s="1"/>
  <c r="G32" i="5"/>
  <c r="H32" i="5"/>
  <c r="L32" i="5"/>
  <c r="M32" i="5" s="1"/>
  <c r="G29" i="5"/>
  <c r="H29" i="5"/>
  <c r="L29" i="5"/>
  <c r="M29" i="5" s="1"/>
  <c r="G28" i="5"/>
  <c r="H28" i="5"/>
  <c r="L28" i="5"/>
  <c r="M28" i="5" s="1"/>
  <c r="G25" i="5"/>
  <c r="D31" i="6" s="1"/>
  <c r="H25" i="5"/>
  <c r="L25" i="5"/>
  <c r="M25" i="5" s="1"/>
  <c r="D261" i="5"/>
  <c r="E261" i="5" s="1"/>
  <c r="F261" i="5"/>
  <c r="O261" i="5"/>
  <c r="G260" i="5"/>
  <c r="H260" i="5"/>
  <c r="L260" i="5"/>
  <c r="M260" i="5" s="1"/>
  <c r="D260" i="5"/>
  <c r="E260" i="5" s="1"/>
  <c r="O260" i="5"/>
  <c r="G259" i="5"/>
  <c r="H259" i="5"/>
  <c r="L259" i="5"/>
  <c r="M259" i="5" s="1"/>
  <c r="D259" i="5"/>
  <c r="E259" i="5" s="1"/>
  <c r="O259" i="5"/>
  <c r="G258" i="5"/>
  <c r="H258" i="5"/>
  <c r="L258" i="5"/>
  <c r="M258" i="5" s="1"/>
  <c r="D258" i="5"/>
  <c r="E258" i="5" s="1"/>
  <c r="O258" i="5"/>
  <c r="G257" i="5"/>
  <c r="D60" i="6" s="1"/>
  <c r="H257" i="5"/>
  <c r="L257" i="5"/>
  <c r="M257" i="5" s="1"/>
  <c r="D257" i="5"/>
  <c r="E257" i="5" s="1"/>
  <c r="C60" i="6" s="1"/>
  <c r="O257" i="5"/>
  <c r="G256" i="5"/>
  <c r="H256" i="5"/>
  <c r="L256" i="5"/>
  <c r="M256" i="5" s="1"/>
  <c r="D256" i="5"/>
  <c r="E256" i="5" s="1"/>
  <c r="O256" i="5"/>
  <c r="G255" i="5"/>
  <c r="H255" i="5"/>
  <c r="L255" i="5"/>
  <c r="M255" i="5" s="1"/>
  <c r="D255" i="5"/>
  <c r="E255" i="5" s="1"/>
  <c r="O255" i="5"/>
  <c r="G254" i="5"/>
  <c r="H254" i="5"/>
  <c r="L254" i="5"/>
  <c r="M254" i="5" s="1"/>
  <c r="D254" i="5"/>
  <c r="E254" i="5" s="1"/>
  <c r="O254" i="5"/>
  <c r="G253" i="5"/>
  <c r="H253" i="5"/>
  <c r="L253" i="5"/>
  <c r="M253" i="5" s="1"/>
  <c r="D253" i="5"/>
  <c r="E253" i="5" s="1"/>
  <c r="O253" i="5"/>
  <c r="G252" i="5"/>
  <c r="H252" i="5"/>
  <c r="L252" i="5"/>
  <c r="M252" i="5" s="1"/>
  <c r="D252" i="5"/>
  <c r="E252" i="5" s="1"/>
  <c r="O252" i="5"/>
  <c r="G251" i="5"/>
  <c r="H251" i="5"/>
  <c r="L251" i="5"/>
  <c r="M251" i="5" s="1"/>
  <c r="D251" i="5"/>
  <c r="E251" i="5" s="1"/>
  <c r="O251" i="5"/>
  <c r="G250" i="5"/>
  <c r="H250" i="5"/>
  <c r="L250" i="5"/>
  <c r="M250" i="5" s="1"/>
  <c r="D250" i="5"/>
  <c r="E250" i="5" s="1"/>
  <c r="O250" i="5"/>
  <c r="G234" i="5"/>
  <c r="H234" i="5"/>
  <c r="L234" i="5"/>
  <c r="M234" i="5" s="1"/>
  <c r="D234" i="5"/>
  <c r="E234" i="5" s="1"/>
  <c r="O234" i="5"/>
  <c r="G233" i="5"/>
  <c r="D57" i="6" s="1"/>
  <c r="H233" i="5"/>
  <c r="L233" i="5"/>
  <c r="M233" i="5" s="1"/>
  <c r="D233" i="5"/>
  <c r="E233" i="5" s="1"/>
  <c r="C57" i="6" s="1"/>
  <c r="O233" i="5"/>
  <c r="G232" i="5"/>
  <c r="H232" i="5"/>
  <c r="L232" i="5"/>
  <c r="M232" i="5" s="1"/>
  <c r="D232" i="5"/>
  <c r="E232" i="5" s="1"/>
  <c r="O232" i="5"/>
  <c r="G231" i="5"/>
  <c r="H231" i="5"/>
  <c r="L231" i="5"/>
  <c r="M231" i="5" s="1"/>
  <c r="D186" i="5"/>
  <c r="E186" i="5" s="1"/>
  <c r="O186" i="5"/>
  <c r="G186" i="5"/>
  <c r="H186" i="5"/>
  <c r="L186" i="5"/>
  <c r="M186" i="5" s="1"/>
  <c r="D187" i="5"/>
  <c r="E187" i="5" s="1"/>
  <c r="O187" i="5"/>
  <c r="G187" i="5"/>
  <c r="H187" i="5"/>
  <c r="L187" i="5"/>
  <c r="M187" i="5" s="1"/>
  <c r="D188" i="5"/>
  <c r="E188" i="5" s="1"/>
  <c r="O188" i="5"/>
  <c r="G188" i="5"/>
  <c r="H188" i="5"/>
  <c r="L188" i="5"/>
  <c r="M188" i="5" s="1"/>
  <c r="D189" i="5"/>
  <c r="E189" i="5" s="1"/>
  <c r="O189" i="5"/>
  <c r="G189" i="5"/>
  <c r="H189" i="5"/>
  <c r="L189" i="5"/>
  <c r="M189" i="5" s="1"/>
  <c r="D190" i="5"/>
  <c r="E190" i="5" s="1"/>
  <c r="O190" i="5"/>
  <c r="G190" i="5"/>
  <c r="H190" i="5"/>
  <c r="L190" i="5"/>
  <c r="M190" i="5" s="1"/>
  <c r="D191" i="5"/>
  <c r="E191" i="5" s="1"/>
  <c r="O191" i="5"/>
  <c r="G191" i="5"/>
  <c r="H191" i="5"/>
  <c r="L191" i="5"/>
  <c r="M191" i="5" s="1"/>
  <c r="D192" i="5"/>
  <c r="E192" i="5" s="1"/>
  <c r="O192" i="5"/>
  <c r="G192" i="5"/>
  <c r="H192" i="5"/>
  <c r="L192" i="5"/>
  <c r="M192" i="5" s="1"/>
  <c r="G181" i="5"/>
  <c r="H181" i="5"/>
  <c r="L181" i="5"/>
  <c r="M181" i="5" s="1"/>
  <c r="D181" i="5"/>
  <c r="E181" i="5" s="1"/>
  <c r="O181" i="5"/>
  <c r="G180" i="5"/>
  <c r="H180" i="5"/>
  <c r="L180" i="5"/>
  <c r="M180" i="5" s="1"/>
  <c r="D180" i="5"/>
  <c r="E180" i="5" s="1"/>
  <c r="O180" i="5"/>
  <c r="G179" i="5"/>
  <c r="H179" i="5"/>
  <c r="L179" i="5"/>
  <c r="M179" i="5" s="1"/>
  <c r="D179" i="5"/>
  <c r="E179" i="5" s="1"/>
  <c r="O179" i="5"/>
  <c r="G178" i="5"/>
  <c r="H178" i="5"/>
  <c r="L178" i="5"/>
  <c r="M178" i="5" s="1"/>
  <c r="D178" i="5"/>
  <c r="E178" i="5" s="1"/>
  <c r="O178" i="5"/>
  <c r="G177" i="5"/>
  <c r="D50" i="6" s="1"/>
  <c r="H177" i="5"/>
  <c r="L177" i="5"/>
  <c r="M177" i="5" s="1"/>
  <c r="D177" i="5"/>
  <c r="E177" i="5" s="1"/>
  <c r="C50" i="6" s="1"/>
  <c r="O177" i="5"/>
  <c r="G176" i="5"/>
  <c r="H176" i="5"/>
  <c r="L176" i="5"/>
  <c r="M176" i="5" s="1"/>
  <c r="D176" i="5"/>
  <c r="E176" i="5" s="1"/>
  <c r="O176" i="5"/>
  <c r="G175" i="5"/>
  <c r="H175" i="5"/>
  <c r="L175" i="5"/>
  <c r="M175" i="5" s="1"/>
  <c r="D175" i="5"/>
  <c r="E175" i="5" s="1"/>
  <c r="O175" i="5"/>
  <c r="G174" i="5"/>
  <c r="H174" i="5"/>
  <c r="L174" i="5"/>
  <c r="M174" i="5" s="1"/>
  <c r="D174" i="5"/>
  <c r="E174" i="5" s="1"/>
  <c r="O174" i="5"/>
  <c r="G173" i="5"/>
  <c r="H173" i="5"/>
  <c r="L173" i="5"/>
  <c r="M173" i="5" s="1"/>
  <c r="D173" i="5"/>
  <c r="E173" i="5" s="1"/>
  <c r="O173" i="5"/>
  <c r="G172" i="5"/>
  <c r="H172" i="5"/>
  <c r="L172" i="5"/>
  <c r="M172" i="5" s="1"/>
  <c r="D172" i="5"/>
  <c r="E172" i="5" s="1"/>
  <c r="O172" i="5"/>
  <c r="G171" i="5"/>
  <c r="H171" i="5"/>
  <c r="L171" i="5"/>
  <c r="M171" i="5" s="1"/>
  <c r="D171" i="5"/>
  <c r="E171" i="5" s="1"/>
  <c r="O171" i="5"/>
  <c r="G170" i="5"/>
  <c r="H170" i="5"/>
  <c r="L170" i="5"/>
  <c r="M170" i="5" s="1"/>
  <c r="D170" i="5"/>
  <c r="E170" i="5" s="1"/>
  <c r="O170" i="5"/>
  <c r="G169" i="5"/>
  <c r="D49" i="6" s="1"/>
  <c r="H169" i="5"/>
  <c r="L169" i="5"/>
  <c r="M169" i="5" s="1"/>
  <c r="D169" i="5"/>
  <c r="E169" i="5" s="1"/>
  <c r="C49" i="6" s="1"/>
  <c r="O169" i="5"/>
  <c r="G168" i="5"/>
  <c r="H168" i="5"/>
  <c r="L168" i="5"/>
  <c r="M168" i="5" s="1"/>
  <c r="D168" i="5"/>
  <c r="E168" i="5" s="1"/>
  <c r="O168" i="5"/>
  <c r="G167" i="5"/>
  <c r="H167" i="5"/>
  <c r="L167" i="5"/>
  <c r="M167" i="5" s="1"/>
  <c r="D167" i="5"/>
  <c r="E167" i="5" s="1"/>
  <c r="O167" i="5"/>
  <c r="G166" i="5"/>
  <c r="H166" i="5"/>
  <c r="L166" i="5"/>
  <c r="M166" i="5" s="1"/>
  <c r="D166" i="5"/>
  <c r="E166" i="5" s="1"/>
  <c r="O166" i="5"/>
  <c r="G165" i="5"/>
  <c r="H165" i="5"/>
  <c r="L165" i="5"/>
  <c r="M165" i="5" s="1"/>
  <c r="D165" i="5"/>
  <c r="E165" i="5" s="1"/>
  <c r="O165" i="5"/>
  <c r="G164" i="5"/>
  <c r="H164" i="5"/>
  <c r="L164" i="5"/>
  <c r="M164" i="5" s="1"/>
  <c r="D164" i="5"/>
  <c r="E164" i="5" s="1"/>
  <c r="O164" i="5"/>
  <c r="G163" i="5"/>
  <c r="H163" i="5"/>
  <c r="L163" i="5"/>
  <c r="M163" i="5" s="1"/>
  <c r="D163" i="5"/>
  <c r="E163" i="5" s="1"/>
  <c r="O163" i="5"/>
  <c r="G162" i="5"/>
  <c r="H162" i="5"/>
  <c r="L162" i="5"/>
  <c r="M162" i="5" s="1"/>
  <c r="D162" i="5"/>
  <c r="E162" i="5" s="1"/>
  <c r="O162" i="5"/>
  <c r="D193" i="5"/>
  <c r="E193" i="5" s="1"/>
  <c r="C52" i="6" s="1"/>
  <c r="O193" i="5"/>
  <c r="G193" i="5"/>
  <c r="D52" i="6" s="1"/>
  <c r="H193" i="5"/>
  <c r="L193" i="5"/>
  <c r="M193" i="5" s="1"/>
  <c r="D194" i="5"/>
  <c r="E194" i="5" s="1"/>
  <c r="O194" i="5"/>
  <c r="G194" i="5"/>
  <c r="H194" i="5"/>
  <c r="L194" i="5"/>
  <c r="M194" i="5" s="1"/>
  <c r="D195" i="5"/>
  <c r="E195" i="5" s="1"/>
  <c r="O195" i="5"/>
  <c r="G195" i="5"/>
  <c r="H195" i="5"/>
  <c r="L195" i="5"/>
  <c r="M195" i="5" s="1"/>
  <c r="D196" i="5"/>
  <c r="E196" i="5" s="1"/>
  <c r="O196" i="5"/>
  <c r="G196" i="5"/>
  <c r="H196" i="5"/>
  <c r="L196" i="5"/>
  <c r="M196" i="5" s="1"/>
  <c r="D197" i="5"/>
  <c r="E197" i="5" s="1"/>
  <c r="O197" i="5"/>
  <c r="G197" i="5"/>
  <c r="H197" i="5"/>
  <c r="L197" i="5"/>
  <c r="M197" i="5" s="1"/>
  <c r="D198" i="5"/>
  <c r="E198" i="5" s="1"/>
  <c r="O198" i="5"/>
  <c r="G198" i="5"/>
  <c r="H198" i="5"/>
  <c r="L198" i="5"/>
  <c r="M198" i="5" s="1"/>
  <c r="D199" i="5"/>
  <c r="E199" i="5" s="1"/>
  <c r="O199" i="5"/>
  <c r="G199" i="5"/>
  <c r="H199" i="5"/>
  <c r="L199" i="5"/>
  <c r="M199" i="5" s="1"/>
  <c r="D200" i="5"/>
  <c r="E200" i="5" s="1"/>
  <c r="O200" i="5"/>
  <c r="G200" i="5"/>
  <c r="H200" i="5"/>
  <c r="L200" i="5"/>
  <c r="M200" i="5" s="1"/>
  <c r="D201" i="5"/>
  <c r="E201" i="5" s="1"/>
  <c r="C53" i="6" s="1"/>
  <c r="O201" i="5"/>
  <c r="G201" i="5"/>
  <c r="D53" i="6" s="1"/>
  <c r="H201" i="5"/>
  <c r="L201" i="5"/>
  <c r="M201" i="5" s="1"/>
  <c r="D202" i="5"/>
  <c r="E202" i="5" s="1"/>
  <c r="O202" i="5"/>
  <c r="G154" i="5"/>
  <c r="H154" i="5"/>
  <c r="L154" i="5"/>
  <c r="M154" i="5" s="1"/>
  <c r="D154" i="5"/>
  <c r="E154" i="5" s="1"/>
  <c r="O154" i="5"/>
  <c r="G153" i="5"/>
  <c r="D47" i="6" s="1"/>
  <c r="H153" i="5"/>
  <c r="L153" i="5"/>
  <c r="M153" i="5" s="1"/>
  <c r="D153" i="5"/>
  <c r="E153" i="5" s="1"/>
  <c r="C47" i="6" s="1"/>
  <c r="O153" i="5"/>
  <c r="G152" i="5"/>
  <c r="H152" i="5"/>
  <c r="L152" i="5"/>
  <c r="M152" i="5" s="1"/>
  <c r="D152" i="5"/>
  <c r="E152" i="5" s="1"/>
  <c r="O152" i="5"/>
  <c r="G151" i="5"/>
  <c r="H151" i="5"/>
  <c r="L151" i="5"/>
  <c r="M151" i="5" s="1"/>
  <c r="D151" i="5"/>
  <c r="E151" i="5" s="1"/>
  <c r="O151" i="5"/>
  <c r="G150" i="5"/>
  <c r="H150" i="5"/>
  <c r="L150" i="5"/>
  <c r="M150" i="5" s="1"/>
  <c r="D150" i="5"/>
  <c r="E150" i="5" s="1"/>
  <c r="O150" i="5"/>
  <c r="G149" i="5"/>
  <c r="H149" i="5"/>
  <c r="L149" i="5"/>
  <c r="M149" i="5" s="1"/>
  <c r="D149" i="5"/>
  <c r="E149" i="5" s="1"/>
  <c r="O149" i="5"/>
  <c r="G148" i="5"/>
  <c r="H148" i="5"/>
  <c r="L148" i="5"/>
  <c r="M148" i="5" s="1"/>
  <c r="D148" i="5"/>
  <c r="E148" i="5" s="1"/>
  <c r="O148" i="5"/>
  <c r="D147" i="5"/>
  <c r="E147" i="5" s="1"/>
  <c r="O147" i="5"/>
  <c r="G146" i="5"/>
  <c r="H146" i="5"/>
  <c r="L146" i="5"/>
  <c r="M146" i="5" s="1"/>
  <c r="D146" i="5"/>
  <c r="E146" i="5" s="1"/>
  <c r="O146" i="5"/>
  <c r="G145" i="5"/>
  <c r="D46" i="6" s="1"/>
  <c r="H145" i="5"/>
  <c r="L145" i="5"/>
  <c r="M145" i="5" s="1"/>
  <c r="D145" i="5"/>
  <c r="E145" i="5" s="1"/>
  <c r="C46" i="6" s="1"/>
  <c r="O145" i="5"/>
  <c r="G144" i="5"/>
  <c r="H144" i="5"/>
  <c r="L144" i="5"/>
  <c r="M144" i="5" s="1"/>
  <c r="D144" i="5"/>
  <c r="E144" i="5" s="1"/>
  <c r="O144" i="5"/>
  <c r="G143" i="5"/>
  <c r="H143" i="5"/>
  <c r="L143" i="5"/>
  <c r="M143" i="5" s="1"/>
  <c r="D143" i="5"/>
  <c r="E143" i="5" s="1"/>
  <c r="O143" i="5"/>
  <c r="G142" i="5"/>
  <c r="H142" i="5"/>
  <c r="L142" i="5"/>
  <c r="M142" i="5" s="1"/>
  <c r="D142" i="5"/>
  <c r="E142" i="5" s="1"/>
  <c r="O142" i="5"/>
  <c r="G141" i="5"/>
  <c r="H141" i="5"/>
  <c r="L141" i="5"/>
  <c r="M141" i="5" s="1"/>
  <c r="D141" i="5"/>
  <c r="E141" i="5" s="1"/>
  <c r="O141" i="5"/>
  <c r="G140" i="5"/>
  <c r="H140" i="5"/>
  <c r="L140" i="5"/>
  <c r="M140" i="5" s="1"/>
  <c r="D140" i="5"/>
  <c r="E140" i="5" s="1"/>
  <c r="O140" i="5"/>
  <c r="G139" i="5"/>
  <c r="H139" i="5"/>
  <c r="L139" i="5"/>
  <c r="M139" i="5" s="1"/>
  <c r="D139" i="5"/>
  <c r="E139" i="5" s="1"/>
  <c r="O139" i="5"/>
  <c r="G138" i="5"/>
  <c r="H138" i="5"/>
  <c r="L138" i="5"/>
  <c r="M138" i="5" s="1"/>
  <c r="D138" i="5"/>
  <c r="E138" i="5" s="1"/>
  <c r="O138" i="5"/>
  <c r="G137" i="5"/>
  <c r="D45" i="6" s="1"/>
  <c r="H137" i="5"/>
  <c r="L137" i="5"/>
  <c r="M137" i="5" s="1"/>
  <c r="D137" i="5"/>
  <c r="E137" i="5" s="1"/>
  <c r="C45" i="6" s="1"/>
  <c r="O137" i="5"/>
  <c r="G136" i="5"/>
  <c r="H136" i="5"/>
  <c r="L136" i="5"/>
  <c r="M136" i="5" s="1"/>
  <c r="D136" i="5"/>
  <c r="E136" i="5" s="1"/>
  <c r="O136" i="5"/>
  <c r="G135" i="5"/>
  <c r="H135" i="5"/>
  <c r="L135" i="5"/>
  <c r="M135" i="5" s="1"/>
  <c r="D135" i="5"/>
  <c r="E135" i="5" s="1"/>
  <c r="O135" i="5"/>
  <c r="G134" i="5"/>
  <c r="H134" i="5"/>
  <c r="L134" i="5"/>
  <c r="M134" i="5" s="1"/>
  <c r="D134" i="5"/>
  <c r="E134" i="5" s="1"/>
  <c r="O134" i="5"/>
  <c r="G133" i="5"/>
  <c r="H133" i="5"/>
  <c r="L133" i="5"/>
  <c r="M133" i="5" s="1"/>
  <c r="D133" i="5"/>
  <c r="E133" i="5" s="1"/>
  <c r="O133" i="5"/>
  <c r="G132" i="5"/>
  <c r="H132" i="5"/>
  <c r="L132" i="5"/>
  <c r="M132" i="5" s="1"/>
  <c r="D132" i="5"/>
  <c r="E132" i="5" s="1"/>
  <c r="O132" i="5"/>
  <c r="G131" i="5"/>
  <c r="H131" i="5"/>
  <c r="L131" i="5"/>
  <c r="M131" i="5" s="1"/>
  <c r="D131" i="5"/>
  <c r="E131" i="5" s="1"/>
  <c r="O131" i="5"/>
  <c r="G130" i="5"/>
  <c r="H130" i="5"/>
  <c r="L130" i="5"/>
  <c r="M130" i="5" s="1"/>
  <c r="D130" i="5"/>
  <c r="E130" i="5" s="1"/>
  <c r="O130" i="5"/>
  <c r="G129" i="5"/>
  <c r="D44" i="6" s="1"/>
  <c r="H129" i="5"/>
  <c r="L129" i="5"/>
  <c r="M129" i="5" s="1"/>
  <c r="D129" i="5"/>
  <c r="E129" i="5" s="1"/>
  <c r="C44" i="6" s="1"/>
  <c r="O129" i="5"/>
  <c r="G128" i="5"/>
  <c r="H128" i="5"/>
  <c r="L128" i="5"/>
  <c r="M128" i="5" s="1"/>
  <c r="D128" i="5"/>
  <c r="E128" i="5" s="1"/>
  <c r="O128" i="5"/>
  <c r="G98" i="5"/>
  <c r="H98" i="5"/>
  <c r="L98" i="5"/>
  <c r="M98" i="5" s="1"/>
  <c r="H96" i="5"/>
  <c r="L96" i="5"/>
  <c r="M96" i="5" s="1"/>
  <c r="G96" i="5"/>
  <c r="G202" i="5"/>
  <c r="H202" i="5"/>
  <c r="L202" i="5"/>
  <c r="M202" i="5" s="1"/>
  <c r="D203" i="5"/>
  <c r="E203" i="5" s="1"/>
  <c r="O203" i="5"/>
  <c r="G203" i="5"/>
  <c r="H203" i="5"/>
  <c r="L203" i="5"/>
  <c r="M203" i="5" s="1"/>
  <c r="G127" i="5"/>
  <c r="H127" i="5"/>
  <c r="L127" i="5"/>
  <c r="M127" i="5" s="1"/>
  <c r="D127" i="5"/>
  <c r="E127" i="5" s="1"/>
  <c r="O127" i="5"/>
  <c r="G126" i="5"/>
  <c r="H126" i="5"/>
  <c r="L126" i="5"/>
  <c r="M126" i="5" s="1"/>
  <c r="G147" i="5"/>
  <c r="H147" i="5"/>
  <c r="L147" i="5"/>
  <c r="M147" i="5" s="1"/>
  <c r="G125" i="5"/>
  <c r="H125" i="5"/>
  <c r="L125" i="5"/>
  <c r="M125" i="5" s="1"/>
  <c r="D125" i="5"/>
  <c r="E125" i="5" s="1"/>
  <c r="O125" i="5"/>
  <c r="G124" i="5"/>
  <c r="H124" i="5"/>
  <c r="L124" i="5"/>
  <c r="M124" i="5" s="1"/>
  <c r="D124" i="5"/>
  <c r="E124" i="5" s="1"/>
  <c r="O124" i="5"/>
  <c r="G123" i="5"/>
  <c r="H123" i="5"/>
  <c r="L123" i="5"/>
  <c r="M123" i="5" s="1"/>
  <c r="D123" i="5"/>
  <c r="E123" i="5" s="1"/>
  <c r="O123" i="5"/>
  <c r="G122" i="5"/>
  <c r="H122" i="5"/>
  <c r="L122" i="5"/>
  <c r="M122" i="5" s="1"/>
  <c r="D122" i="5"/>
  <c r="E122" i="5" s="1"/>
  <c r="O122" i="5"/>
  <c r="G121" i="5"/>
  <c r="D43" i="6" s="1"/>
  <c r="H121" i="5"/>
  <c r="L121" i="5"/>
  <c r="M121" i="5" s="1"/>
  <c r="D121" i="5"/>
  <c r="E121" i="5" s="1"/>
  <c r="C43" i="6" s="1"/>
  <c r="O121" i="5"/>
  <c r="G120" i="5"/>
  <c r="H120" i="5"/>
  <c r="L120" i="5"/>
  <c r="M120" i="5" s="1"/>
  <c r="D120" i="5"/>
  <c r="E120" i="5" s="1"/>
  <c r="O120" i="5"/>
  <c r="G119" i="5"/>
  <c r="H119" i="5"/>
  <c r="L119" i="5"/>
  <c r="M119" i="5" s="1"/>
  <c r="D119" i="5"/>
  <c r="E119" i="5" s="1"/>
  <c r="O119" i="5"/>
  <c r="G118" i="5"/>
  <c r="H118" i="5"/>
  <c r="L118" i="5"/>
  <c r="M118" i="5" s="1"/>
  <c r="D118" i="5"/>
  <c r="E118" i="5" s="1"/>
  <c r="O118" i="5"/>
  <c r="G117" i="5"/>
  <c r="H117" i="5"/>
  <c r="L117" i="5"/>
  <c r="M117" i="5" s="1"/>
  <c r="D117" i="5"/>
  <c r="E117" i="5" s="1"/>
  <c r="O117" i="5"/>
  <c r="G116" i="5"/>
  <c r="H116" i="5"/>
  <c r="L116" i="5"/>
  <c r="M116" i="5" s="1"/>
  <c r="D116" i="5"/>
  <c r="E116" i="5" s="1"/>
  <c r="O116" i="5"/>
  <c r="G115" i="5"/>
  <c r="H115" i="5"/>
  <c r="L115" i="5"/>
  <c r="M115" i="5" s="1"/>
  <c r="D115" i="5"/>
  <c r="E115" i="5" s="1"/>
  <c r="O115" i="5"/>
  <c r="G114" i="5"/>
  <c r="H114" i="5"/>
  <c r="L114" i="5"/>
  <c r="M114" i="5" s="1"/>
  <c r="D114" i="5"/>
  <c r="E114" i="5" s="1"/>
  <c r="O114" i="5"/>
  <c r="G113" i="5"/>
  <c r="D42" i="6" s="1"/>
  <c r="H113" i="5"/>
  <c r="L113" i="5"/>
  <c r="M113" i="5" s="1"/>
  <c r="D113" i="5"/>
  <c r="E113" i="5" s="1"/>
  <c r="C42" i="6" s="1"/>
  <c r="O113" i="5"/>
  <c r="G112" i="5"/>
  <c r="H112" i="5"/>
  <c r="L112" i="5"/>
  <c r="M112" i="5" s="1"/>
  <c r="D112" i="5"/>
  <c r="E112" i="5" s="1"/>
  <c r="O112" i="5"/>
  <c r="G111" i="5"/>
  <c r="H111" i="5"/>
  <c r="L111" i="5"/>
  <c r="M111" i="5" s="1"/>
  <c r="D111" i="5"/>
  <c r="E111" i="5" s="1"/>
  <c r="O111" i="5"/>
  <c r="G110" i="5"/>
  <c r="H110" i="5"/>
  <c r="L110" i="5"/>
  <c r="M110" i="5" s="1"/>
  <c r="D110" i="5"/>
  <c r="E110" i="5" s="1"/>
  <c r="O110" i="5"/>
  <c r="G109" i="5"/>
  <c r="H109" i="5"/>
  <c r="L109" i="5"/>
  <c r="M109" i="5" s="1"/>
  <c r="D109" i="5"/>
  <c r="E109" i="5" s="1"/>
  <c r="O109" i="5"/>
  <c r="G108" i="5"/>
  <c r="H108" i="5"/>
  <c r="L108" i="5"/>
  <c r="M108" i="5" s="1"/>
  <c r="G107" i="5"/>
  <c r="H107" i="5"/>
  <c r="L107" i="5"/>
  <c r="M107" i="5" s="1"/>
  <c r="D107" i="5"/>
  <c r="E107" i="5" s="1"/>
  <c r="O107" i="5"/>
  <c r="G106" i="5"/>
  <c r="H106" i="5"/>
  <c r="L106" i="5"/>
  <c r="M106" i="5" s="1"/>
  <c r="D106" i="5"/>
  <c r="E106" i="5" s="1"/>
  <c r="O106" i="5"/>
  <c r="G105" i="5"/>
  <c r="D41" i="6" s="1"/>
  <c r="H105" i="5"/>
  <c r="L105" i="5"/>
  <c r="M105" i="5" s="1"/>
  <c r="D105" i="5"/>
  <c r="E105" i="5" s="1"/>
  <c r="C41" i="6" s="1"/>
  <c r="O105" i="5"/>
  <c r="G104" i="5"/>
  <c r="H104" i="5"/>
  <c r="L104" i="5"/>
  <c r="M104" i="5" s="1"/>
  <c r="D104" i="5"/>
  <c r="E104" i="5" s="1"/>
  <c r="O104" i="5"/>
  <c r="G103" i="5"/>
  <c r="H103" i="5"/>
  <c r="L103" i="5"/>
  <c r="M103" i="5" s="1"/>
  <c r="D103" i="5"/>
  <c r="E103" i="5" s="1"/>
  <c r="O103" i="5"/>
  <c r="G102" i="5"/>
  <c r="H102" i="5"/>
  <c r="L102" i="5"/>
  <c r="M102" i="5" s="1"/>
  <c r="D102" i="5"/>
  <c r="E102" i="5" s="1"/>
  <c r="O102" i="5"/>
  <c r="G100" i="5"/>
  <c r="H100" i="5"/>
  <c r="L100" i="5"/>
  <c r="M100" i="5" s="1"/>
  <c r="D100" i="5"/>
  <c r="E100" i="5" s="1"/>
  <c r="O100" i="5"/>
  <c r="G99" i="5"/>
  <c r="H99" i="5"/>
  <c r="L99" i="5"/>
  <c r="M99" i="5" s="1"/>
  <c r="D99" i="5"/>
  <c r="E99" i="5" s="1"/>
  <c r="O99" i="5"/>
  <c r="O98" i="5"/>
  <c r="D98" i="5"/>
  <c r="E98" i="5" s="1"/>
  <c r="L97" i="5"/>
  <c r="M97" i="5" s="1"/>
  <c r="G97" i="5"/>
  <c r="D40" i="6" s="1"/>
  <c r="H97" i="5"/>
  <c r="O97" i="5"/>
  <c r="D97" i="5"/>
  <c r="E97" i="5" s="1"/>
  <c r="C40" i="6" s="1"/>
  <c r="D96" i="5"/>
  <c r="E96" i="5" s="1"/>
  <c r="O96" i="5"/>
  <c r="D126" i="5"/>
  <c r="E126" i="5" s="1"/>
  <c r="O126" i="5"/>
  <c r="G101" i="5"/>
  <c r="H101" i="5"/>
  <c r="L101" i="5"/>
  <c r="M101" i="5" s="1"/>
  <c r="D101" i="5"/>
  <c r="E101" i="5" s="1"/>
  <c r="O101" i="5"/>
  <c r="G74" i="5"/>
  <c r="H74" i="5"/>
  <c r="L74" i="5"/>
  <c r="M74" i="5" s="1"/>
  <c r="D74" i="5"/>
  <c r="E74" i="5" s="1"/>
  <c r="O74" i="5"/>
  <c r="D204" i="5"/>
  <c r="E204" i="5" s="1"/>
  <c r="O204" i="5"/>
  <c r="G204" i="5"/>
  <c r="H204" i="5"/>
  <c r="L204" i="5"/>
  <c r="M204" i="5" s="1"/>
  <c r="D205" i="5"/>
  <c r="E205" i="5" s="1"/>
  <c r="O205" i="5"/>
  <c r="G205" i="5"/>
  <c r="H205" i="5"/>
  <c r="L205" i="5"/>
  <c r="M205" i="5" s="1"/>
  <c r="D206" i="5"/>
  <c r="E206" i="5" s="1"/>
  <c r="O206" i="5"/>
  <c r="G206" i="5"/>
  <c r="H206" i="5"/>
  <c r="L206" i="5"/>
  <c r="M206" i="5" s="1"/>
  <c r="D207" i="5"/>
  <c r="E207" i="5" s="1"/>
  <c r="O207" i="5"/>
  <c r="G207" i="5"/>
  <c r="H207" i="5"/>
  <c r="L207" i="5"/>
  <c r="M207" i="5" s="1"/>
  <c r="D222" i="5"/>
  <c r="E222" i="5" s="1"/>
  <c r="O222" i="5"/>
  <c r="G222" i="5"/>
  <c r="H222" i="5"/>
  <c r="L222" i="5"/>
  <c r="M222" i="5" s="1"/>
  <c r="D223" i="5"/>
  <c r="E223" i="5" s="1"/>
  <c r="O223" i="5"/>
  <c r="G223" i="5"/>
  <c r="H223" i="5"/>
  <c r="L223" i="5"/>
  <c r="M223" i="5" s="1"/>
  <c r="D224" i="5"/>
  <c r="E224" i="5" s="1"/>
  <c r="O224" i="5"/>
  <c r="G224" i="5"/>
  <c r="H224" i="5"/>
  <c r="L224" i="5"/>
  <c r="M224" i="5" s="1"/>
  <c r="D225" i="5"/>
  <c r="E225" i="5" s="1"/>
  <c r="C56" i="6" s="1"/>
  <c r="O225" i="5"/>
  <c r="G225" i="5"/>
  <c r="D56" i="6" s="1"/>
  <c r="H225" i="5"/>
  <c r="L225" i="5"/>
  <c r="M225" i="5" s="1"/>
  <c r="D226" i="5"/>
  <c r="E226" i="5" s="1"/>
  <c r="O226" i="5"/>
  <c r="G226" i="5"/>
  <c r="H226" i="5"/>
  <c r="L226" i="5"/>
  <c r="M226" i="5" s="1"/>
  <c r="D227" i="5"/>
  <c r="E227" i="5" s="1"/>
  <c r="O227" i="5"/>
  <c r="G47" i="5"/>
  <c r="H47" i="5"/>
  <c r="L47" i="5"/>
  <c r="M47" i="5" s="1"/>
  <c r="D47" i="5"/>
  <c r="E47" i="5" s="1"/>
  <c r="O47" i="5"/>
  <c r="G46" i="5"/>
  <c r="H46" i="5"/>
  <c r="L46" i="5"/>
  <c r="M46" i="5" s="1"/>
  <c r="D46" i="5"/>
  <c r="E46" i="5" s="1"/>
  <c r="O46" i="5"/>
  <c r="G45" i="5"/>
  <c r="H45" i="5"/>
  <c r="L45" i="5"/>
  <c r="M45" i="5" s="1"/>
  <c r="D45" i="5"/>
  <c r="E45" i="5" s="1"/>
  <c r="O45" i="5"/>
  <c r="G44" i="5"/>
  <c r="H44" i="5"/>
  <c r="L44" i="5"/>
  <c r="M44" i="5" s="1"/>
  <c r="D44" i="5"/>
  <c r="E44" i="5" s="1"/>
  <c r="O44" i="5"/>
  <c r="G43" i="5"/>
  <c r="H43" i="5"/>
  <c r="L43" i="5"/>
  <c r="M43" i="5" s="1"/>
  <c r="D43" i="5"/>
  <c r="E43" i="5" s="1"/>
  <c r="O43" i="5"/>
  <c r="G42" i="5"/>
  <c r="H42" i="5"/>
  <c r="L42" i="5"/>
  <c r="M42" i="5" s="1"/>
  <c r="D42" i="5"/>
  <c r="E42" i="5" s="1"/>
  <c r="O42" i="5"/>
  <c r="G41" i="5"/>
  <c r="D33" i="6" s="1"/>
  <c r="H41" i="5"/>
  <c r="L41" i="5"/>
  <c r="M41" i="5" s="1"/>
  <c r="D41" i="5"/>
  <c r="E41" i="5" s="1"/>
  <c r="C33" i="6" s="1"/>
  <c r="O41" i="5"/>
  <c r="G40" i="5"/>
  <c r="H40" i="5"/>
  <c r="L40" i="5"/>
  <c r="M40" i="5" s="1"/>
  <c r="D40" i="5"/>
  <c r="E40" i="5" s="1"/>
  <c r="O40" i="5"/>
  <c r="E20" i="8"/>
  <c r="I20" i="8"/>
  <c r="E19" i="8"/>
  <c r="I19" i="8"/>
  <c r="E18" i="8"/>
  <c r="I18" i="8"/>
  <c r="E17" i="8"/>
  <c r="I17" i="8"/>
  <c r="E16" i="8"/>
  <c r="I16" i="8"/>
  <c r="E15" i="8"/>
  <c r="I15" i="8"/>
  <c r="E14" i="8"/>
  <c r="E22" i="8" s="1"/>
  <c r="I14" i="8"/>
  <c r="D22" i="8"/>
  <c r="C10" i="8"/>
  <c r="C11" i="8" s="1"/>
  <c r="D108" i="5"/>
  <c r="E108" i="5" s="1"/>
  <c r="O108" i="5"/>
  <c r="G227" i="5"/>
  <c r="H227" i="5"/>
  <c r="L227" i="5"/>
  <c r="M227" i="5" s="1"/>
  <c r="D228" i="5"/>
  <c r="E228" i="5" s="1"/>
  <c r="O228" i="5"/>
  <c r="G228" i="5"/>
  <c r="H228" i="5"/>
  <c r="L228" i="5"/>
  <c r="M228" i="5" s="1"/>
  <c r="D229" i="5"/>
  <c r="E229" i="5" s="1"/>
  <c r="O229" i="5"/>
  <c r="G229" i="5"/>
  <c r="H229" i="5"/>
  <c r="L229" i="5"/>
  <c r="M229" i="5" s="1"/>
  <c r="D230" i="5"/>
  <c r="E230" i="5" s="1"/>
  <c r="O230" i="5"/>
  <c r="G230" i="5"/>
  <c r="H230" i="5"/>
  <c r="L230" i="5"/>
  <c r="M230" i="5" s="1"/>
  <c r="D231" i="5"/>
  <c r="E231" i="5" s="1"/>
  <c r="O231" i="5"/>
  <c r="G21" i="5"/>
  <c r="H21" i="5"/>
  <c r="L21" i="5"/>
  <c r="M21" i="5" s="1"/>
  <c r="D21" i="5"/>
  <c r="E21" i="5" s="1"/>
  <c r="O21" i="5"/>
  <c r="G20" i="5"/>
  <c r="H20" i="5"/>
  <c r="L20" i="5"/>
  <c r="M20" i="5" s="1"/>
  <c r="D20" i="5"/>
  <c r="E20" i="5" s="1"/>
  <c r="O20" i="5"/>
  <c r="G19" i="5"/>
  <c r="H19" i="5"/>
  <c r="L19" i="5"/>
  <c r="M19" i="5" s="1"/>
  <c r="D19" i="5"/>
  <c r="E19" i="5" s="1"/>
  <c r="O19" i="5"/>
  <c r="G18" i="5"/>
  <c r="H18" i="5"/>
  <c r="L18" i="5"/>
  <c r="M18" i="5" s="1"/>
  <c r="D18" i="5"/>
  <c r="E18" i="5" s="1"/>
  <c r="O18" i="5"/>
  <c r="G17" i="5"/>
  <c r="D30" i="6" s="1"/>
  <c r="H17" i="5"/>
  <c r="L17" i="5"/>
  <c r="M17" i="5" s="1"/>
  <c r="D17" i="5"/>
  <c r="E17" i="5" s="1"/>
  <c r="C30" i="6" s="1"/>
  <c r="O17" i="5"/>
  <c r="G16" i="5"/>
  <c r="H16" i="5"/>
  <c r="L16" i="5"/>
  <c r="M16" i="5" s="1"/>
  <c r="D16" i="5"/>
  <c r="E16" i="5" s="1"/>
  <c r="O16" i="5"/>
  <c r="G15" i="5"/>
  <c r="H15" i="5"/>
  <c r="L15" i="5"/>
  <c r="M15" i="5" s="1"/>
  <c r="D15" i="5"/>
  <c r="E15" i="5" s="1"/>
  <c r="O15" i="5"/>
  <c r="G14" i="5"/>
  <c r="H14" i="5"/>
  <c r="L14" i="5"/>
  <c r="M14" i="5" s="1"/>
  <c r="D14" i="5"/>
  <c r="E14" i="5" s="1"/>
  <c r="O14" i="5"/>
  <c r="G13" i="5"/>
  <c r="H13" i="5"/>
  <c r="L13" i="5"/>
  <c r="M13" i="5" s="1"/>
  <c r="D13" i="5"/>
  <c r="E13" i="5" s="1"/>
  <c r="O13" i="5"/>
  <c r="G12" i="5"/>
  <c r="H12" i="5"/>
  <c r="L12" i="5"/>
  <c r="M12" i="5" s="1"/>
  <c r="D12" i="5"/>
  <c r="E12" i="5" s="1"/>
  <c r="O12" i="5"/>
  <c r="G11" i="5"/>
  <c r="H11" i="5"/>
  <c r="L11" i="5"/>
  <c r="M11" i="5" s="1"/>
  <c r="D11" i="5"/>
  <c r="E11" i="5" s="1"/>
  <c r="O11" i="5"/>
  <c r="G10" i="5"/>
  <c r="H10" i="5"/>
  <c r="L10" i="5"/>
  <c r="M10" i="5" s="1"/>
  <c r="D10" i="5"/>
  <c r="E10" i="5" s="1"/>
  <c r="O10" i="5"/>
  <c r="G9" i="5"/>
  <c r="D29" i="6" s="1"/>
  <c r="H9" i="5"/>
  <c r="L9" i="5"/>
  <c r="D9" i="5"/>
  <c r="O9" i="5"/>
  <c r="C6" i="4"/>
  <c r="H6" i="6"/>
  <c r="H7" i="6"/>
  <c r="H8" i="6"/>
  <c r="F22" i="7"/>
  <c r="C6" i="8"/>
  <c r="E11" i="13"/>
  <c r="D247" i="5"/>
  <c r="E247" i="5" s="1"/>
  <c r="D248" i="5"/>
  <c r="E248" i="5" s="1"/>
  <c r="D249" i="5"/>
  <c r="E249" i="5" s="1"/>
  <c r="C59" i="6" s="1"/>
  <c r="D263" i="5"/>
  <c r="E263" i="5" s="1"/>
  <c r="D264" i="5"/>
  <c r="E264" i="5" s="1"/>
  <c r="D22" i="5"/>
  <c r="E22" i="5" s="1"/>
  <c r="D23" i="5"/>
  <c r="E23" i="5" s="1"/>
  <c r="D214" i="5"/>
  <c r="E214" i="5" s="1"/>
  <c r="D24" i="5"/>
  <c r="E24" i="5" s="1"/>
  <c r="D25" i="5"/>
  <c r="E25" i="5" s="1"/>
  <c r="C31" i="6" s="1"/>
  <c r="D26" i="5"/>
  <c r="E26" i="5" s="1"/>
  <c r="D27" i="5"/>
  <c r="E27" i="5" s="1"/>
  <c r="D78" i="5"/>
  <c r="E78" i="5" s="1"/>
  <c r="D79" i="5"/>
  <c r="E79" i="5" s="1"/>
  <c r="D80" i="5"/>
  <c r="E80" i="5" s="1"/>
  <c r="D81" i="5"/>
  <c r="E81" i="5" s="1"/>
  <c r="C38" i="6" s="1"/>
  <c r="D82" i="5"/>
  <c r="E82" i="5" s="1"/>
  <c r="D212" i="5"/>
  <c r="E212" i="5" s="1"/>
  <c r="D213" i="5"/>
  <c r="E213" i="5" s="1"/>
  <c r="D221" i="5"/>
  <c r="E221" i="5" s="1"/>
  <c r="D215" i="5"/>
  <c r="E215" i="5" s="1"/>
  <c r="D216" i="5"/>
  <c r="E216" i="5" s="1"/>
  <c r="D217" i="5"/>
  <c r="E217" i="5" s="1"/>
  <c r="C55" i="6" s="1"/>
  <c r="D218" i="5"/>
  <c r="E218" i="5" s="1"/>
  <c r="D219" i="5"/>
  <c r="E219" i="5" s="1"/>
  <c r="D220" i="5"/>
  <c r="E220" i="5" s="1"/>
  <c r="D235" i="5"/>
  <c r="E235" i="5" s="1"/>
  <c r="D236" i="5"/>
  <c r="E236" i="5" s="1"/>
  <c r="D237" i="5"/>
  <c r="E237" i="5" s="1"/>
  <c r="D238" i="5"/>
  <c r="E238" i="5" s="1"/>
  <c r="D239" i="5"/>
  <c r="E239" i="5" s="1"/>
  <c r="D262" i="5"/>
  <c r="E262" i="5" s="1"/>
  <c r="D240" i="5"/>
  <c r="E240" i="5" s="1"/>
  <c r="D241" i="5"/>
  <c r="E241" i="5" s="1"/>
  <c r="C58" i="6" s="1"/>
  <c r="D242" i="5"/>
  <c r="E242" i="5" s="1"/>
  <c r="D243" i="5"/>
  <c r="E243" i="5" s="1"/>
  <c r="D244" i="5"/>
  <c r="E244" i="5" s="1"/>
  <c r="D245" i="5"/>
  <c r="E245" i="5" s="1"/>
  <c r="D246" i="5"/>
  <c r="E246" i="5" s="1"/>
  <c r="L183" i="5" l="1"/>
  <c r="M183" i="5" s="1"/>
  <c r="G183" i="5"/>
  <c r="H183" i="5"/>
  <c r="E48" i="6"/>
  <c r="H161" i="5"/>
  <c r="G161" i="5"/>
  <c r="D48" i="6" s="1"/>
  <c r="L161" i="5"/>
  <c r="M161" i="5" s="1"/>
  <c r="H158" i="5"/>
  <c r="G158" i="5"/>
  <c r="L158" i="5"/>
  <c r="M158" i="5" s="1"/>
  <c r="H75" i="5"/>
  <c r="G75" i="5"/>
  <c r="L75" i="5"/>
  <c r="E36" i="6"/>
  <c r="H65" i="5"/>
  <c r="L65" i="5"/>
  <c r="M65" i="5" s="1"/>
  <c r="G65" i="5"/>
  <c r="D36" i="6" s="1"/>
  <c r="L59" i="5"/>
  <c r="M59" i="5" s="1"/>
  <c r="G59" i="5"/>
  <c r="H59" i="5"/>
  <c r="H52" i="5"/>
  <c r="G52" i="5"/>
  <c r="L52" i="5"/>
  <c r="M52" i="5" s="1"/>
  <c r="E34" i="6"/>
  <c r="L49" i="5"/>
  <c r="M49" i="5" s="1"/>
  <c r="H49" i="5"/>
  <c r="G49" i="5"/>
  <c r="D34" i="6" s="1"/>
  <c r="G34" i="5"/>
  <c r="L34" i="5"/>
  <c r="M34" i="5" s="1"/>
  <c r="H34" i="5"/>
  <c r="H236" i="5"/>
  <c r="L236" i="5"/>
  <c r="M236" i="5" s="1"/>
  <c r="G236" i="5"/>
  <c r="G235" i="5"/>
  <c r="H235" i="5"/>
  <c r="L235" i="5"/>
  <c r="M235" i="5" s="1"/>
  <c r="L184" i="5"/>
  <c r="M184" i="5" s="1"/>
  <c r="H184" i="5"/>
  <c r="G184" i="5"/>
  <c r="L159" i="5"/>
  <c r="M159" i="5" s="1"/>
  <c r="G159" i="5"/>
  <c r="H159" i="5"/>
  <c r="L156" i="5"/>
  <c r="M156" i="5" s="1"/>
  <c r="G156" i="5"/>
  <c r="H156" i="5"/>
  <c r="L69" i="5"/>
  <c r="M69" i="5" s="1"/>
  <c r="H69" i="5"/>
  <c r="G69" i="5"/>
  <c r="L66" i="5"/>
  <c r="M66" i="5" s="1"/>
  <c r="G66" i="5"/>
  <c r="H66" i="5"/>
  <c r="L61" i="5"/>
  <c r="M61" i="5" s="1"/>
  <c r="H61" i="5"/>
  <c r="G61" i="5"/>
  <c r="L56" i="5"/>
  <c r="M56" i="5" s="1"/>
  <c r="H56" i="5"/>
  <c r="G56" i="5"/>
  <c r="H39" i="5"/>
  <c r="G39" i="5"/>
  <c r="L39" i="5"/>
  <c r="M39" i="5" s="1"/>
  <c r="G31" i="5"/>
  <c r="H31" i="5"/>
  <c r="L31" i="5"/>
  <c r="M31" i="5" s="1"/>
  <c r="G22" i="5"/>
  <c r="H22" i="5"/>
  <c r="L22" i="5"/>
  <c r="L221" i="5"/>
  <c r="M221" i="5" s="1"/>
  <c r="H221" i="5"/>
  <c r="G221" i="5"/>
  <c r="H220" i="5"/>
  <c r="G220" i="5"/>
  <c r="L220" i="5"/>
  <c r="M220" i="5" s="1"/>
  <c r="L219" i="5"/>
  <c r="M219" i="5" s="1"/>
  <c r="H219" i="5"/>
  <c r="G219" i="5"/>
  <c r="L218" i="5"/>
  <c r="M218" i="5" s="1"/>
  <c r="H218" i="5"/>
  <c r="G218" i="5"/>
  <c r="E55" i="6"/>
  <c r="L217" i="5"/>
  <c r="M217" i="5" s="1"/>
  <c r="H217" i="5"/>
  <c r="G217" i="5"/>
  <c r="D55" i="6" s="1"/>
  <c r="H216" i="5"/>
  <c r="L216" i="5"/>
  <c r="M216" i="5" s="1"/>
  <c r="G216" i="5"/>
  <c r="G215" i="5"/>
  <c r="H215" i="5"/>
  <c r="L215" i="5"/>
  <c r="M215" i="5" s="1"/>
  <c r="G214" i="5"/>
  <c r="L214" i="5"/>
  <c r="M214" i="5" s="1"/>
  <c r="H214" i="5"/>
  <c r="H213" i="5"/>
  <c r="L213" i="5"/>
  <c r="M213" i="5" s="1"/>
  <c r="G213" i="5"/>
  <c r="G212" i="5"/>
  <c r="H212" i="5"/>
  <c r="L212" i="5"/>
  <c r="M212" i="5" s="1"/>
  <c r="H211" i="5"/>
  <c r="G211" i="5"/>
  <c r="L211" i="5"/>
  <c r="M211" i="5" s="1"/>
  <c r="G210" i="5"/>
  <c r="H210" i="5"/>
  <c r="L210" i="5"/>
  <c r="M210" i="5" s="1"/>
  <c r="E54" i="6"/>
  <c r="G209" i="5"/>
  <c r="D54" i="6" s="1"/>
  <c r="H209" i="5"/>
  <c r="L209" i="5"/>
  <c r="M209" i="5" s="1"/>
  <c r="L208" i="5"/>
  <c r="M208" i="5" s="1"/>
  <c r="G208" i="5"/>
  <c r="H208" i="5"/>
  <c r="E51" i="6"/>
  <c r="G185" i="5"/>
  <c r="D51" i="6" s="1"/>
  <c r="H185" i="5"/>
  <c r="L185" i="5"/>
  <c r="M185" i="5" s="1"/>
  <c r="H182" i="5"/>
  <c r="L182" i="5"/>
  <c r="M182" i="5" s="1"/>
  <c r="G182" i="5"/>
  <c r="L160" i="5"/>
  <c r="M160" i="5" s="1"/>
  <c r="G160" i="5"/>
  <c r="H160" i="5"/>
  <c r="L157" i="5"/>
  <c r="M157" i="5" s="1"/>
  <c r="H157" i="5"/>
  <c r="G157" i="5"/>
  <c r="L71" i="5"/>
  <c r="M71" i="5" s="1"/>
  <c r="H71" i="5"/>
  <c r="G71" i="5"/>
  <c r="G60" i="5"/>
  <c r="H60" i="5"/>
  <c r="L60" i="5"/>
  <c r="M60" i="5" s="1"/>
  <c r="G54" i="5"/>
  <c r="L54" i="5"/>
  <c r="M54" i="5" s="1"/>
  <c r="H54" i="5"/>
  <c r="G38" i="5"/>
  <c r="H38" i="5"/>
  <c r="L38" i="5"/>
  <c r="M38" i="5" s="1"/>
  <c r="E32" i="6"/>
  <c r="H33" i="5"/>
  <c r="L33" i="5"/>
  <c r="M33" i="5" s="1"/>
  <c r="G33" i="5"/>
  <c r="D32" i="6" s="1"/>
  <c r="G30" i="5"/>
  <c r="H30" i="5"/>
  <c r="L30" i="5"/>
  <c r="M30" i="5" s="1"/>
  <c r="H27" i="5"/>
  <c r="L27" i="5"/>
  <c r="M27" i="5" s="1"/>
  <c r="G27" i="5"/>
  <c r="G23" i="5"/>
  <c r="H23" i="5"/>
  <c r="L23" i="5"/>
  <c r="M23" i="5" s="1"/>
  <c r="H24" i="5"/>
  <c r="L24" i="5"/>
  <c r="M24" i="5" s="1"/>
  <c r="G24" i="5"/>
  <c r="H155" i="5"/>
  <c r="L155" i="5"/>
  <c r="M155" i="5" s="1"/>
  <c r="G155" i="5"/>
  <c r="E37" i="6"/>
  <c r="G73" i="5"/>
  <c r="D37" i="6" s="1"/>
  <c r="H73" i="5"/>
  <c r="L73" i="5"/>
  <c r="M73" i="5" s="1"/>
  <c r="G70" i="5"/>
  <c r="L70" i="5"/>
  <c r="M70" i="5" s="1"/>
  <c r="H70" i="5"/>
  <c r="L67" i="5"/>
  <c r="M67" i="5" s="1"/>
  <c r="H67" i="5"/>
  <c r="G67" i="5"/>
  <c r="L64" i="5"/>
  <c r="M64" i="5" s="1"/>
  <c r="G64" i="5"/>
  <c r="H64" i="5"/>
  <c r="L62" i="5"/>
  <c r="M62" i="5" s="1"/>
  <c r="G62" i="5"/>
  <c r="H62" i="5"/>
  <c r="H58" i="5"/>
  <c r="L58" i="5"/>
  <c r="M58" i="5" s="1"/>
  <c r="G58" i="5"/>
  <c r="H51" i="5"/>
  <c r="L51" i="5"/>
  <c r="M51" i="5" s="1"/>
  <c r="G51" i="5"/>
  <c r="L95" i="5"/>
  <c r="M95" i="5" s="1"/>
  <c r="G95" i="5"/>
  <c r="H95" i="5"/>
  <c r="G94" i="5"/>
  <c r="H94" i="5"/>
  <c r="L94" i="5"/>
  <c r="M94" i="5" s="1"/>
  <c r="G93" i="5"/>
  <c r="L93" i="5"/>
  <c r="M93" i="5" s="1"/>
  <c r="H93" i="5"/>
  <c r="G92" i="5"/>
  <c r="L92" i="5"/>
  <c r="M92" i="5" s="1"/>
  <c r="H92" i="5"/>
  <c r="G91" i="5"/>
  <c r="L91" i="5"/>
  <c r="M91" i="5" s="1"/>
  <c r="H91" i="5"/>
  <c r="G90" i="5"/>
  <c r="L90" i="5"/>
  <c r="M90" i="5" s="1"/>
  <c r="H90" i="5"/>
  <c r="E39" i="6"/>
  <c r="L89" i="5"/>
  <c r="M89" i="5" s="1"/>
  <c r="H89" i="5"/>
  <c r="G89" i="5"/>
  <c r="D39" i="6" s="1"/>
  <c r="H88" i="5"/>
  <c r="G88" i="5"/>
  <c r="L88" i="5"/>
  <c r="M88" i="5" s="1"/>
  <c r="G87" i="5"/>
  <c r="H87" i="5"/>
  <c r="L87" i="5"/>
  <c r="M87" i="5" s="1"/>
  <c r="L86" i="5"/>
  <c r="M86" i="5" s="1"/>
  <c r="G86" i="5"/>
  <c r="H86" i="5"/>
  <c r="L85" i="5"/>
  <c r="M85" i="5" s="1"/>
  <c r="H85" i="5"/>
  <c r="G85" i="5"/>
  <c r="H83" i="5"/>
  <c r="L83" i="5"/>
  <c r="M83" i="5" s="1"/>
  <c r="G83" i="5"/>
  <c r="H72" i="5"/>
  <c r="G72" i="5"/>
  <c r="L72" i="5"/>
  <c r="M72" i="5" s="1"/>
  <c r="G68" i="5"/>
  <c r="L68" i="5"/>
  <c r="M68" i="5" s="1"/>
  <c r="H68" i="5"/>
  <c r="G63" i="5"/>
  <c r="H63" i="5"/>
  <c r="L63" i="5"/>
  <c r="M63" i="5" s="1"/>
  <c r="E35" i="6"/>
  <c r="H57" i="5"/>
  <c r="L57" i="5"/>
  <c r="M57" i="5" s="1"/>
  <c r="G57" i="5"/>
  <c r="D35" i="6" s="1"/>
  <c r="L55" i="5"/>
  <c r="M55" i="5" s="1"/>
  <c r="H55" i="5"/>
  <c r="G55" i="5"/>
  <c r="H50" i="5"/>
  <c r="G50" i="5"/>
  <c r="L50" i="5"/>
  <c r="M50" i="5" s="1"/>
  <c r="L37" i="5"/>
  <c r="M37" i="5" s="1"/>
  <c r="H37" i="5"/>
  <c r="G37" i="5"/>
  <c r="H26" i="5"/>
  <c r="L26" i="5"/>
  <c r="M26" i="5" s="1"/>
  <c r="G26" i="5"/>
  <c r="J14" i="7"/>
  <c r="M14" i="7" s="1"/>
  <c r="O14" i="7" s="1"/>
  <c r="L14" i="7"/>
  <c r="J13" i="7"/>
  <c r="M13" i="7" s="1"/>
  <c r="O13" i="7" s="1"/>
  <c r="L13" i="7"/>
  <c r="J12" i="7"/>
  <c r="M12" i="7" s="1"/>
  <c r="O12" i="7" s="1"/>
  <c r="L12" i="7"/>
  <c r="J11" i="7"/>
  <c r="M11" i="7" s="1"/>
  <c r="O11" i="7" s="1"/>
  <c r="L11" i="7"/>
  <c r="J10" i="7"/>
  <c r="M10" i="7" s="1"/>
  <c r="O10" i="7" s="1"/>
  <c r="L10" i="7"/>
  <c r="J9" i="7"/>
  <c r="L9" i="7"/>
  <c r="D22" i="13"/>
  <c r="D19" i="13"/>
  <c r="D20" i="13"/>
  <c r="N15" i="7"/>
  <c r="F21" i="13"/>
  <c r="F18" i="13"/>
  <c r="E7" i="13"/>
  <c r="F7" i="13"/>
  <c r="I264" i="5"/>
  <c r="J264" i="5"/>
  <c r="K264" i="5"/>
  <c r="J263" i="5"/>
  <c r="K263" i="5"/>
  <c r="I263" i="5"/>
  <c r="K262" i="5"/>
  <c r="I262" i="5"/>
  <c r="J262" i="5"/>
  <c r="I249" i="5"/>
  <c r="J249" i="5"/>
  <c r="K249" i="5"/>
  <c r="I248" i="5"/>
  <c r="J248" i="5"/>
  <c r="K248" i="5"/>
  <c r="I247" i="5"/>
  <c r="J247" i="5"/>
  <c r="K247" i="5"/>
  <c r="I246" i="5"/>
  <c r="J246" i="5"/>
  <c r="K246" i="5"/>
  <c r="I245" i="5"/>
  <c r="J245" i="5"/>
  <c r="K245" i="5"/>
  <c r="I244" i="5"/>
  <c r="J244" i="5"/>
  <c r="K244" i="5"/>
  <c r="I243" i="5"/>
  <c r="J243" i="5"/>
  <c r="K243" i="5"/>
  <c r="I242" i="5"/>
  <c r="J242" i="5"/>
  <c r="K242" i="5"/>
  <c r="I241" i="5"/>
  <c r="J241" i="5"/>
  <c r="K241" i="5"/>
  <c r="I240" i="5"/>
  <c r="J240" i="5"/>
  <c r="K240" i="5"/>
  <c r="I239" i="5"/>
  <c r="J239" i="5"/>
  <c r="K239" i="5"/>
  <c r="I238" i="5"/>
  <c r="J238" i="5"/>
  <c r="K238" i="5"/>
  <c r="I237" i="5"/>
  <c r="J237" i="5"/>
  <c r="K237" i="5"/>
  <c r="I215" i="5"/>
  <c r="J215" i="5"/>
  <c r="K215" i="5"/>
  <c r="I214" i="5"/>
  <c r="J214" i="5"/>
  <c r="K214" i="5"/>
  <c r="I213" i="5"/>
  <c r="J213" i="5"/>
  <c r="K213" i="5"/>
  <c r="I212" i="5"/>
  <c r="J212" i="5"/>
  <c r="K212" i="5"/>
  <c r="I211" i="5"/>
  <c r="J211" i="5"/>
  <c r="K211" i="5"/>
  <c r="I210" i="5"/>
  <c r="J210" i="5"/>
  <c r="K210" i="5"/>
  <c r="I209" i="5"/>
  <c r="J209" i="5"/>
  <c r="K209" i="5"/>
  <c r="I208" i="5"/>
  <c r="J208" i="5"/>
  <c r="K208" i="5"/>
  <c r="I185" i="5"/>
  <c r="J185" i="5"/>
  <c r="K185" i="5"/>
  <c r="I182" i="5"/>
  <c r="J182" i="5"/>
  <c r="K182" i="5"/>
  <c r="I160" i="5"/>
  <c r="J160" i="5"/>
  <c r="K160" i="5"/>
  <c r="I157" i="5"/>
  <c r="J157" i="5"/>
  <c r="K157" i="5"/>
  <c r="J95" i="5"/>
  <c r="K95" i="5"/>
  <c r="I95" i="5"/>
  <c r="J94" i="5"/>
  <c r="K94" i="5"/>
  <c r="I94" i="5"/>
  <c r="J93" i="5"/>
  <c r="K93" i="5"/>
  <c r="I93" i="5"/>
  <c r="J92" i="5"/>
  <c r="K92" i="5"/>
  <c r="I92" i="5"/>
  <c r="J91" i="5"/>
  <c r="K91" i="5"/>
  <c r="I91" i="5"/>
  <c r="J90" i="5"/>
  <c r="K90" i="5"/>
  <c r="I90" i="5"/>
  <c r="J89" i="5"/>
  <c r="K89" i="5"/>
  <c r="I89" i="5"/>
  <c r="I88" i="5"/>
  <c r="K88" i="5"/>
  <c r="J88" i="5"/>
  <c r="J87" i="5"/>
  <c r="K87" i="5"/>
  <c r="I87" i="5"/>
  <c r="J86" i="5"/>
  <c r="K86" i="5"/>
  <c r="I86" i="5"/>
  <c r="J85" i="5"/>
  <c r="K85" i="5"/>
  <c r="I85" i="5"/>
  <c r="I84" i="5"/>
  <c r="J84" i="5"/>
  <c r="K84" i="5"/>
  <c r="J83" i="5"/>
  <c r="K83" i="5"/>
  <c r="I83" i="5"/>
  <c r="J82" i="5"/>
  <c r="K82" i="5"/>
  <c r="I82" i="5"/>
  <c r="J81" i="5"/>
  <c r="I81" i="5"/>
  <c r="K81" i="5"/>
  <c r="I80" i="5"/>
  <c r="J80" i="5"/>
  <c r="K80" i="5"/>
  <c r="J79" i="5"/>
  <c r="K79" i="5"/>
  <c r="I79" i="5"/>
  <c r="J78" i="5"/>
  <c r="I78" i="5"/>
  <c r="K78" i="5"/>
  <c r="K77" i="5"/>
  <c r="I77" i="5"/>
  <c r="J77" i="5"/>
  <c r="J76" i="5"/>
  <c r="I76" i="5"/>
  <c r="K76" i="5"/>
  <c r="I73" i="5"/>
  <c r="K73" i="5"/>
  <c r="J73" i="5"/>
  <c r="K72" i="5"/>
  <c r="I72" i="5"/>
  <c r="J72" i="5"/>
  <c r="J71" i="5"/>
  <c r="I71" i="5"/>
  <c r="K71" i="5"/>
  <c r="K70" i="5"/>
  <c r="J70" i="5"/>
  <c r="I70" i="5"/>
  <c r="J68" i="5"/>
  <c r="I68" i="5"/>
  <c r="K68" i="5"/>
  <c r="K67" i="5"/>
  <c r="J67" i="5"/>
  <c r="I67" i="5"/>
  <c r="J64" i="5"/>
  <c r="I64" i="5"/>
  <c r="K64" i="5"/>
  <c r="I63" i="5"/>
  <c r="K63" i="5"/>
  <c r="J63" i="5"/>
  <c r="K62" i="5"/>
  <c r="J62" i="5"/>
  <c r="I62" i="5"/>
  <c r="K60" i="5"/>
  <c r="I60" i="5"/>
  <c r="J60" i="5"/>
  <c r="J58" i="5"/>
  <c r="I58" i="5"/>
  <c r="K58" i="5"/>
  <c r="I57" i="5"/>
  <c r="J57" i="5"/>
  <c r="K57" i="5"/>
  <c r="J55" i="5"/>
  <c r="I55" i="5"/>
  <c r="K55" i="5"/>
  <c r="J54" i="5"/>
  <c r="K54" i="5"/>
  <c r="I54" i="5"/>
  <c r="J53" i="5"/>
  <c r="I53" i="5"/>
  <c r="K53" i="5"/>
  <c r="I51" i="5"/>
  <c r="K51" i="5"/>
  <c r="J51" i="5"/>
  <c r="J50" i="5"/>
  <c r="K50" i="5"/>
  <c r="I50" i="5"/>
  <c r="K48" i="5"/>
  <c r="I48" i="5"/>
  <c r="J48" i="5"/>
  <c r="I38" i="5"/>
  <c r="J38" i="5"/>
  <c r="K38" i="5"/>
  <c r="I37" i="5"/>
  <c r="J37" i="5"/>
  <c r="K37" i="5"/>
  <c r="I36" i="5"/>
  <c r="J36" i="5"/>
  <c r="K36" i="5"/>
  <c r="I35" i="5"/>
  <c r="J35" i="5"/>
  <c r="K35" i="5"/>
  <c r="I33" i="5"/>
  <c r="J33" i="5"/>
  <c r="K33" i="5"/>
  <c r="I32" i="5"/>
  <c r="J32" i="5"/>
  <c r="K32" i="5"/>
  <c r="I30" i="5"/>
  <c r="J30" i="5"/>
  <c r="K30" i="5"/>
  <c r="I29" i="5"/>
  <c r="J29" i="5"/>
  <c r="K29" i="5"/>
  <c r="I28" i="5"/>
  <c r="J28" i="5"/>
  <c r="K28" i="5"/>
  <c r="I27" i="5"/>
  <c r="J27" i="5"/>
  <c r="K27" i="5"/>
  <c r="I26" i="5"/>
  <c r="J26" i="5"/>
  <c r="K26" i="5"/>
  <c r="I25" i="5"/>
  <c r="J25" i="5"/>
  <c r="K25" i="5"/>
  <c r="I24" i="5"/>
  <c r="J24" i="5"/>
  <c r="K24" i="5"/>
  <c r="I23" i="5"/>
  <c r="J23" i="5"/>
  <c r="K23" i="5"/>
  <c r="H261" i="5"/>
  <c r="L261" i="5"/>
  <c r="M261" i="5" s="1"/>
  <c r="G261" i="5"/>
  <c r="I260" i="5"/>
  <c r="J260" i="5"/>
  <c r="K260" i="5"/>
  <c r="R260" i="5"/>
  <c r="U260" i="5"/>
  <c r="I259" i="5"/>
  <c r="J259" i="5"/>
  <c r="R259" i="5" s="1"/>
  <c r="K259" i="5"/>
  <c r="U259" i="5"/>
  <c r="I258" i="5"/>
  <c r="J258" i="5"/>
  <c r="K258" i="5"/>
  <c r="I257" i="5"/>
  <c r="J257" i="5"/>
  <c r="K257" i="5"/>
  <c r="R257" i="5"/>
  <c r="U257" i="5"/>
  <c r="I256" i="5"/>
  <c r="J256" i="5"/>
  <c r="K256" i="5"/>
  <c r="R256" i="5"/>
  <c r="U256" i="5"/>
  <c r="I255" i="5"/>
  <c r="J255" i="5"/>
  <c r="K255" i="5"/>
  <c r="R255" i="5"/>
  <c r="U255" i="5"/>
  <c r="I254" i="5"/>
  <c r="J254" i="5"/>
  <c r="K254" i="5"/>
  <c r="R254" i="5"/>
  <c r="U254" i="5"/>
  <c r="I253" i="5"/>
  <c r="J253" i="5"/>
  <c r="U253" i="5" s="1"/>
  <c r="K253" i="5"/>
  <c r="R253" i="5"/>
  <c r="I252" i="5"/>
  <c r="J252" i="5"/>
  <c r="K252" i="5"/>
  <c r="R252" i="5"/>
  <c r="U252" i="5"/>
  <c r="I251" i="5"/>
  <c r="J251" i="5"/>
  <c r="K251" i="5"/>
  <c r="R251" i="5"/>
  <c r="U251" i="5"/>
  <c r="I250" i="5"/>
  <c r="J250" i="5"/>
  <c r="K250" i="5"/>
  <c r="R250" i="5"/>
  <c r="U250" i="5"/>
  <c r="I234" i="5"/>
  <c r="J234" i="5"/>
  <c r="K234" i="5"/>
  <c r="R234" i="5"/>
  <c r="U234" i="5"/>
  <c r="I233" i="5"/>
  <c r="J233" i="5"/>
  <c r="K233" i="5"/>
  <c r="R233" i="5"/>
  <c r="U233" i="5"/>
  <c r="I232" i="5"/>
  <c r="J232" i="5"/>
  <c r="K232" i="5"/>
  <c r="R232" i="5"/>
  <c r="U232" i="5"/>
  <c r="I231" i="5"/>
  <c r="J231" i="5"/>
  <c r="K231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81" i="5"/>
  <c r="J181" i="5"/>
  <c r="K181" i="5"/>
  <c r="R181" i="5"/>
  <c r="U181" i="5"/>
  <c r="I180" i="5"/>
  <c r="J180" i="5"/>
  <c r="K180" i="5"/>
  <c r="R180" i="5"/>
  <c r="U180" i="5"/>
  <c r="I179" i="5"/>
  <c r="J179" i="5"/>
  <c r="K179" i="5"/>
  <c r="R179" i="5"/>
  <c r="U179" i="5"/>
  <c r="I178" i="5"/>
  <c r="J178" i="5"/>
  <c r="K178" i="5"/>
  <c r="R178" i="5"/>
  <c r="U178" i="5"/>
  <c r="I177" i="5"/>
  <c r="J177" i="5"/>
  <c r="K177" i="5"/>
  <c r="R177" i="5"/>
  <c r="U177" i="5"/>
  <c r="I176" i="5"/>
  <c r="J176" i="5"/>
  <c r="K176" i="5"/>
  <c r="R176" i="5"/>
  <c r="U176" i="5"/>
  <c r="I175" i="5"/>
  <c r="J175" i="5"/>
  <c r="U175" i="5" s="1"/>
  <c r="K175" i="5"/>
  <c r="R175" i="5"/>
  <c r="I174" i="5"/>
  <c r="J174" i="5"/>
  <c r="K174" i="5"/>
  <c r="R174" i="5"/>
  <c r="U174" i="5"/>
  <c r="I173" i="5"/>
  <c r="J173" i="5"/>
  <c r="K173" i="5"/>
  <c r="R173" i="5"/>
  <c r="U173" i="5"/>
  <c r="I172" i="5"/>
  <c r="J172" i="5"/>
  <c r="K172" i="5"/>
  <c r="R172" i="5"/>
  <c r="U172" i="5"/>
  <c r="I171" i="5"/>
  <c r="J171" i="5"/>
  <c r="K171" i="5"/>
  <c r="R171" i="5"/>
  <c r="U171" i="5"/>
  <c r="I170" i="5"/>
  <c r="J170" i="5"/>
  <c r="K170" i="5"/>
  <c r="R170" i="5"/>
  <c r="U170" i="5"/>
  <c r="I169" i="5"/>
  <c r="J169" i="5"/>
  <c r="K169" i="5"/>
  <c r="R169" i="5"/>
  <c r="U169" i="5"/>
  <c r="I168" i="5"/>
  <c r="J168" i="5"/>
  <c r="K168" i="5"/>
  <c r="R168" i="5"/>
  <c r="U168" i="5"/>
  <c r="I167" i="5"/>
  <c r="J167" i="5"/>
  <c r="K167" i="5"/>
  <c r="R167" i="5"/>
  <c r="U167" i="5"/>
  <c r="I166" i="5"/>
  <c r="J166" i="5"/>
  <c r="K166" i="5"/>
  <c r="R166" i="5"/>
  <c r="U166" i="5"/>
  <c r="I165" i="5"/>
  <c r="J165" i="5"/>
  <c r="K165" i="5"/>
  <c r="R165" i="5"/>
  <c r="U165" i="5"/>
  <c r="I164" i="5"/>
  <c r="J164" i="5"/>
  <c r="K164" i="5"/>
  <c r="R164" i="5"/>
  <c r="U164" i="5"/>
  <c r="I163" i="5"/>
  <c r="J163" i="5"/>
  <c r="K163" i="5"/>
  <c r="R163" i="5"/>
  <c r="U163" i="5"/>
  <c r="I162" i="5"/>
  <c r="J162" i="5"/>
  <c r="K162" i="5"/>
  <c r="R162" i="5"/>
  <c r="U16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154" i="5"/>
  <c r="J154" i="5"/>
  <c r="K154" i="5"/>
  <c r="R154" i="5"/>
  <c r="U154" i="5"/>
  <c r="I153" i="5"/>
  <c r="J153" i="5"/>
  <c r="K153" i="5"/>
  <c r="R153" i="5"/>
  <c r="U153" i="5"/>
  <c r="I152" i="5"/>
  <c r="J152" i="5"/>
  <c r="K152" i="5"/>
  <c r="R152" i="5"/>
  <c r="U152" i="5"/>
  <c r="I151" i="5"/>
  <c r="J151" i="5"/>
  <c r="K151" i="5"/>
  <c r="R151" i="5"/>
  <c r="U151" i="5"/>
  <c r="I150" i="5"/>
  <c r="J150" i="5"/>
  <c r="K150" i="5"/>
  <c r="R150" i="5"/>
  <c r="U150" i="5"/>
  <c r="I149" i="5"/>
  <c r="J149" i="5"/>
  <c r="K149" i="5"/>
  <c r="R149" i="5"/>
  <c r="U149" i="5"/>
  <c r="I148" i="5"/>
  <c r="J148" i="5"/>
  <c r="K148" i="5"/>
  <c r="R148" i="5"/>
  <c r="U148" i="5"/>
  <c r="I146" i="5"/>
  <c r="J146" i="5"/>
  <c r="K146" i="5"/>
  <c r="R146" i="5"/>
  <c r="U146" i="5"/>
  <c r="I145" i="5"/>
  <c r="J145" i="5"/>
  <c r="K145" i="5"/>
  <c r="R145" i="5"/>
  <c r="U145" i="5"/>
  <c r="I144" i="5"/>
  <c r="J144" i="5"/>
  <c r="K144" i="5"/>
  <c r="R144" i="5"/>
  <c r="U144" i="5"/>
  <c r="I143" i="5"/>
  <c r="J143" i="5"/>
  <c r="K143" i="5"/>
  <c r="R143" i="5"/>
  <c r="U143" i="5"/>
  <c r="I142" i="5"/>
  <c r="J142" i="5"/>
  <c r="K142" i="5"/>
  <c r="R142" i="5"/>
  <c r="U142" i="5"/>
  <c r="I141" i="5"/>
  <c r="J141" i="5"/>
  <c r="K141" i="5"/>
  <c r="R141" i="5"/>
  <c r="U141" i="5"/>
  <c r="I140" i="5"/>
  <c r="J140" i="5"/>
  <c r="K140" i="5"/>
  <c r="R140" i="5"/>
  <c r="U140" i="5"/>
  <c r="I139" i="5"/>
  <c r="J139" i="5"/>
  <c r="K139" i="5"/>
  <c r="R139" i="5"/>
  <c r="U139" i="5"/>
  <c r="I138" i="5"/>
  <c r="J138" i="5"/>
  <c r="K138" i="5"/>
  <c r="R138" i="5"/>
  <c r="U138" i="5"/>
  <c r="I137" i="5"/>
  <c r="J137" i="5"/>
  <c r="K137" i="5"/>
  <c r="R137" i="5"/>
  <c r="H45" i="6" s="1"/>
  <c r="U137" i="5"/>
  <c r="I136" i="5"/>
  <c r="J136" i="5"/>
  <c r="K136" i="5"/>
  <c r="R136" i="5"/>
  <c r="U136" i="5"/>
  <c r="I135" i="5"/>
  <c r="J135" i="5"/>
  <c r="K135" i="5"/>
  <c r="R135" i="5"/>
  <c r="U135" i="5"/>
  <c r="I134" i="5"/>
  <c r="J134" i="5"/>
  <c r="K134" i="5"/>
  <c r="R134" i="5"/>
  <c r="U134" i="5"/>
  <c r="I133" i="5"/>
  <c r="J133" i="5"/>
  <c r="K133" i="5"/>
  <c r="R133" i="5"/>
  <c r="U133" i="5"/>
  <c r="I132" i="5"/>
  <c r="J132" i="5"/>
  <c r="K132" i="5"/>
  <c r="R132" i="5"/>
  <c r="U132" i="5"/>
  <c r="I131" i="5"/>
  <c r="J131" i="5"/>
  <c r="K131" i="5"/>
  <c r="R131" i="5"/>
  <c r="U131" i="5"/>
  <c r="I130" i="5"/>
  <c r="J130" i="5"/>
  <c r="K130" i="5"/>
  <c r="R130" i="5"/>
  <c r="U130" i="5"/>
  <c r="I129" i="5"/>
  <c r="J129" i="5"/>
  <c r="K129" i="5"/>
  <c r="R129" i="5"/>
  <c r="H44" i="6" s="1"/>
  <c r="U129" i="5"/>
  <c r="I128" i="5"/>
  <c r="J128" i="5"/>
  <c r="K128" i="5"/>
  <c r="R128" i="5"/>
  <c r="U128" i="5"/>
  <c r="J98" i="5"/>
  <c r="K98" i="5"/>
  <c r="I98" i="5"/>
  <c r="J96" i="5"/>
  <c r="K96" i="5"/>
  <c r="I96" i="5"/>
  <c r="I202" i="5"/>
  <c r="J202" i="5"/>
  <c r="K202" i="5"/>
  <c r="I203" i="5"/>
  <c r="J203" i="5"/>
  <c r="K203" i="5"/>
  <c r="I127" i="5"/>
  <c r="J127" i="5"/>
  <c r="K127" i="5"/>
  <c r="R127" i="5"/>
  <c r="U127" i="5"/>
  <c r="I126" i="5"/>
  <c r="J126" i="5"/>
  <c r="K126" i="5"/>
  <c r="I147" i="5"/>
  <c r="J147" i="5"/>
  <c r="K147" i="5"/>
  <c r="I125" i="5"/>
  <c r="J125" i="5"/>
  <c r="K125" i="5"/>
  <c r="R125" i="5"/>
  <c r="U125" i="5"/>
  <c r="I124" i="5"/>
  <c r="J124" i="5"/>
  <c r="K124" i="5"/>
  <c r="R124" i="5"/>
  <c r="U124" i="5"/>
  <c r="I123" i="5"/>
  <c r="J123" i="5"/>
  <c r="K123" i="5"/>
  <c r="R123" i="5"/>
  <c r="U123" i="5"/>
  <c r="I122" i="5"/>
  <c r="J122" i="5"/>
  <c r="K122" i="5"/>
  <c r="R122" i="5"/>
  <c r="U122" i="5"/>
  <c r="I121" i="5"/>
  <c r="J121" i="5"/>
  <c r="K121" i="5"/>
  <c r="R121" i="5"/>
  <c r="U121" i="5"/>
  <c r="I120" i="5"/>
  <c r="J120" i="5"/>
  <c r="K120" i="5"/>
  <c r="R120" i="5"/>
  <c r="U120" i="5"/>
  <c r="I119" i="5"/>
  <c r="J119" i="5"/>
  <c r="K119" i="5"/>
  <c r="R119" i="5"/>
  <c r="U119" i="5"/>
  <c r="I118" i="5"/>
  <c r="J118" i="5"/>
  <c r="K118" i="5"/>
  <c r="R118" i="5"/>
  <c r="U118" i="5"/>
  <c r="I117" i="5"/>
  <c r="J117" i="5"/>
  <c r="K117" i="5"/>
  <c r="R117" i="5"/>
  <c r="U117" i="5"/>
  <c r="I116" i="5"/>
  <c r="J116" i="5"/>
  <c r="K116" i="5"/>
  <c r="R116" i="5"/>
  <c r="U116" i="5"/>
  <c r="I115" i="5"/>
  <c r="J115" i="5"/>
  <c r="K115" i="5"/>
  <c r="R115" i="5"/>
  <c r="U115" i="5"/>
  <c r="I114" i="5"/>
  <c r="J114" i="5"/>
  <c r="K114" i="5"/>
  <c r="R114" i="5"/>
  <c r="U114" i="5"/>
  <c r="I113" i="5"/>
  <c r="J113" i="5"/>
  <c r="K113" i="5"/>
  <c r="R113" i="5"/>
  <c r="H42" i="6" s="1"/>
  <c r="U113" i="5"/>
  <c r="I112" i="5"/>
  <c r="J112" i="5"/>
  <c r="K112" i="5"/>
  <c r="R112" i="5"/>
  <c r="U112" i="5"/>
  <c r="I111" i="5"/>
  <c r="J111" i="5"/>
  <c r="K111" i="5"/>
  <c r="R111" i="5"/>
  <c r="U111" i="5"/>
  <c r="I110" i="5"/>
  <c r="J110" i="5"/>
  <c r="K110" i="5"/>
  <c r="R110" i="5"/>
  <c r="U110" i="5"/>
  <c r="I109" i="5"/>
  <c r="J109" i="5"/>
  <c r="K109" i="5"/>
  <c r="R109" i="5"/>
  <c r="U109" i="5"/>
  <c r="I108" i="5"/>
  <c r="J108" i="5"/>
  <c r="K108" i="5"/>
  <c r="I107" i="5"/>
  <c r="J107" i="5"/>
  <c r="K107" i="5"/>
  <c r="I106" i="5"/>
  <c r="J106" i="5"/>
  <c r="K106" i="5"/>
  <c r="I105" i="5"/>
  <c r="J105" i="5"/>
  <c r="K105" i="5"/>
  <c r="R105" i="5"/>
  <c r="U105" i="5"/>
  <c r="I104" i="5"/>
  <c r="J104" i="5"/>
  <c r="K104" i="5"/>
  <c r="R104" i="5"/>
  <c r="U104" i="5"/>
  <c r="I103" i="5"/>
  <c r="J103" i="5"/>
  <c r="K103" i="5"/>
  <c r="R103" i="5"/>
  <c r="U103" i="5"/>
  <c r="I102" i="5"/>
  <c r="J102" i="5"/>
  <c r="U102" i="5" s="1"/>
  <c r="K102" i="5"/>
  <c r="R102" i="5"/>
  <c r="I100" i="5"/>
  <c r="J100" i="5"/>
  <c r="K100" i="5"/>
  <c r="R100" i="5"/>
  <c r="U100" i="5"/>
  <c r="I99" i="5"/>
  <c r="J99" i="5"/>
  <c r="K99" i="5"/>
  <c r="R99" i="5"/>
  <c r="U99" i="5"/>
  <c r="I97" i="5"/>
  <c r="J97" i="5"/>
  <c r="K97" i="5"/>
  <c r="R97" i="5"/>
  <c r="U97" i="5"/>
  <c r="I101" i="5"/>
  <c r="J101" i="5"/>
  <c r="K101" i="5"/>
  <c r="R101" i="5"/>
  <c r="U101" i="5"/>
  <c r="I74" i="5"/>
  <c r="J74" i="5"/>
  <c r="K74" i="5"/>
  <c r="R74" i="5"/>
  <c r="U74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22" i="5"/>
  <c r="J222" i="5"/>
  <c r="K222" i="5"/>
  <c r="I223" i="5"/>
  <c r="J223" i="5"/>
  <c r="K223" i="5"/>
  <c r="I224" i="5"/>
  <c r="J224" i="5"/>
  <c r="K224" i="5"/>
  <c r="I225" i="5"/>
  <c r="J225" i="5"/>
  <c r="K225" i="5"/>
  <c r="I226" i="5"/>
  <c r="J226" i="5"/>
  <c r="K226" i="5"/>
  <c r="I47" i="5"/>
  <c r="J47" i="5"/>
  <c r="K47" i="5"/>
  <c r="R47" i="5"/>
  <c r="U47" i="5"/>
  <c r="I46" i="5"/>
  <c r="J46" i="5"/>
  <c r="K46" i="5"/>
  <c r="R46" i="5"/>
  <c r="U46" i="5"/>
  <c r="I45" i="5"/>
  <c r="J45" i="5"/>
  <c r="K45" i="5"/>
  <c r="R45" i="5"/>
  <c r="U45" i="5"/>
  <c r="I44" i="5"/>
  <c r="J44" i="5"/>
  <c r="K44" i="5"/>
  <c r="R44" i="5"/>
  <c r="U44" i="5"/>
  <c r="I43" i="5"/>
  <c r="J43" i="5"/>
  <c r="K43" i="5"/>
  <c r="R43" i="5"/>
  <c r="U43" i="5"/>
  <c r="I42" i="5"/>
  <c r="J42" i="5"/>
  <c r="K42" i="5"/>
  <c r="R42" i="5"/>
  <c r="U42" i="5"/>
  <c r="I41" i="5"/>
  <c r="J41" i="5"/>
  <c r="K41" i="5"/>
  <c r="R41" i="5"/>
  <c r="U41" i="5"/>
  <c r="I40" i="5"/>
  <c r="J40" i="5"/>
  <c r="K40" i="5"/>
  <c r="R40" i="5"/>
  <c r="U40" i="5"/>
  <c r="I22" i="8"/>
  <c r="I227" i="5"/>
  <c r="J227" i="5"/>
  <c r="K227" i="5"/>
  <c r="I228" i="5"/>
  <c r="J228" i="5"/>
  <c r="K228" i="5"/>
  <c r="I229" i="5"/>
  <c r="J229" i="5"/>
  <c r="K229" i="5"/>
  <c r="I230" i="5"/>
  <c r="J230" i="5"/>
  <c r="K230" i="5"/>
  <c r="R231" i="5"/>
  <c r="U231" i="5"/>
  <c r="I21" i="5"/>
  <c r="J21" i="5"/>
  <c r="K21" i="5"/>
  <c r="R21" i="5"/>
  <c r="U21" i="5"/>
  <c r="I20" i="5"/>
  <c r="J20" i="5"/>
  <c r="K20" i="5"/>
  <c r="R20" i="5"/>
  <c r="U20" i="5"/>
  <c r="I19" i="5"/>
  <c r="J19" i="5"/>
  <c r="K19" i="5"/>
  <c r="R19" i="5"/>
  <c r="U19" i="5"/>
  <c r="I18" i="5"/>
  <c r="J18" i="5"/>
  <c r="K18" i="5"/>
  <c r="R18" i="5"/>
  <c r="U18" i="5"/>
  <c r="I17" i="5"/>
  <c r="J17" i="5"/>
  <c r="K17" i="5"/>
  <c r="R17" i="5"/>
  <c r="U17" i="5"/>
  <c r="I16" i="5"/>
  <c r="J16" i="5"/>
  <c r="K16" i="5"/>
  <c r="R16" i="5"/>
  <c r="U16" i="5"/>
  <c r="I15" i="5"/>
  <c r="J15" i="5"/>
  <c r="K15" i="5"/>
  <c r="R15" i="5"/>
  <c r="U15" i="5"/>
  <c r="I14" i="5"/>
  <c r="J14" i="5"/>
  <c r="K14" i="5"/>
  <c r="R14" i="5"/>
  <c r="U14" i="5"/>
  <c r="I13" i="5"/>
  <c r="J13" i="5"/>
  <c r="K13" i="5"/>
  <c r="R13" i="5"/>
  <c r="U13" i="5"/>
  <c r="I12" i="5"/>
  <c r="J12" i="5"/>
  <c r="K12" i="5"/>
  <c r="R12" i="5"/>
  <c r="U12" i="5"/>
  <c r="I11" i="5"/>
  <c r="J11" i="5"/>
  <c r="K11" i="5"/>
  <c r="R11" i="5"/>
  <c r="U11" i="5"/>
  <c r="I10" i="5"/>
  <c r="J10" i="5"/>
  <c r="K10" i="5"/>
  <c r="R10" i="5"/>
  <c r="U10" i="5"/>
  <c r="I9" i="5"/>
  <c r="J9" i="5"/>
  <c r="K9" i="5"/>
  <c r="M9" i="5"/>
  <c r="E9" i="5"/>
  <c r="C29" i="6" s="1"/>
  <c r="I6" i="6"/>
  <c r="I7" i="6"/>
  <c r="I8" i="6"/>
  <c r="R9" i="5"/>
  <c r="H29" i="6" s="1"/>
  <c r="U9" i="5"/>
  <c r="C7" i="4"/>
  <c r="G19" i="4"/>
  <c r="G20" i="4"/>
  <c r="G21" i="4"/>
  <c r="G22" i="4"/>
  <c r="G23" i="4"/>
  <c r="G24" i="4"/>
  <c r="G25" i="4"/>
  <c r="G26" i="4"/>
  <c r="B14" i="8"/>
  <c r="B15" i="8"/>
  <c r="B16" i="8"/>
  <c r="B17" i="8"/>
  <c r="B18" i="8"/>
  <c r="B19" i="8"/>
  <c r="B20" i="8"/>
  <c r="B21" i="8"/>
  <c r="F21" i="8"/>
  <c r="F20" i="8"/>
  <c r="F19" i="8"/>
  <c r="F18" i="8"/>
  <c r="F17" i="8"/>
  <c r="F16" i="8"/>
  <c r="F15" i="8"/>
  <c r="F14" i="8"/>
  <c r="F22" i="8" s="1"/>
  <c r="H49" i="6" l="1"/>
  <c r="J183" i="5"/>
  <c r="K183" i="5"/>
  <c r="I183" i="5"/>
  <c r="I161" i="5"/>
  <c r="K161" i="5"/>
  <c r="J161" i="5"/>
  <c r="K158" i="5"/>
  <c r="J158" i="5"/>
  <c r="I158" i="5"/>
  <c r="J75" i="5"/>
  <c r="I75" i="5"/>
  <c r="K75" i="5"/>
  <c r="M75" i="5"/>
  <c r="C12" i="6"/>
  <c r="I65" i="5"/>
  <c r="J65" i="5"/>
  <c r="K65" i="5"/>
  <c r="K59" i="5"/>
  <c r="I59" i="5"/>
  <c r="J59" i="5"/>
  <c r="J52" i="5"/>
  <c r="I52" i="5"/>
  <c r="K52" i="5"/>
  <c r="I49" i="5"/>
  <c r="K49" i="5"/>
  <c r="J49" i="5"/>
  <c r="I34" i="5"/>
  <c r="J34" i="5"/>
  <c r="K34" i="5"/>
  <c r="J236" i="5"/>
  <c r="K236" i="5"/>
  <c r="I236" i="5"/>
  <c r="I235" i="5"/>
  <c r="J235" i="5"/>
  <c r="K235" i="5"/>
  <c r="K184" i="5"/>
  <c r="J184" i="5"/>
  <c r="I184" i="5"/>
  <c r="I159" i="5"/>
  <c r="K159" i="5"/>
  <c r="J159" i="5"/>
  <c r="I156" i="5"/>
  <c r="J156" i="5"/>
  <c r="K156" i="5"/>
  <c r="I69" i="5"/>
  <c r="K69" i="5"/>
  <c r="J69" i="5"/>
  <c r="J66" i="5"/>
  <c r="K66" i="5"/>
  <c r="I66" i="5"/>
  <c r="J61" i="5"/>
  <c r="I61" i="5"/>
  <c r="K61" i="5"/>
  <c r="I56" i="5"/>
  <c r="J56" i="5"/>
  <c r="K56" i="5"/>
  <c r="I39" i="5"/>
  <c r="J39" i="5"/>
  <c r="K39" i="5"/>
  <c r="J31" i="5"/>
  <c r="K31" i="5"/>
  <c r="I31" i="5"/>
  <c r="I22" i="5"/>
  <c r="K22" i="5"/>
  <c r="J22" i="5"/>
  <c r="M22" i="5"/>
  <c r="C11" i="6"/>
  <c r="E10" i="13" s="1"/>
  <c r="I221" i="5"/>
  <c r="J221" i="5"/>
  <c r="K221" i="5"/>
  <c r="I220" i="5"/>
  <c r="K220" i="5"/>
  <c r="J220" i="5"/>
  <c r="J219" i="5"/>
  <c r="I219" i="5"/>
  <c r="K219" i="5"/>
  <c r="J218" i="5"/>
  <c r="K218" i="5"/>
  <c r="I218" i="5"/>
  <c r="I217" i="5"/>
  <c r="J217" i="5"/>
  <c r="K217" i="5"/>
  <c r="J216" i="5"/>
  <c r="K216" i="5"/>
  <c r="I216" i="5"/>
  <c r="J155" i="5"/>
  <c r="K155" i="5"/>
  <c r="I155" i="5"/>
  <c r="U258" i="5"/>
  <c r="R258" i="5"/>
  <c r="U198" i="5"/>
  <c r="R198" i="5"/>
  <c r="R108" i="5"/>
  <c r="U108" i="5"/>
  <c r="R107" i="5"/>
  <c r="U107" i="5"/>
  <c r="R106" i="5"/>
  <c r="H41" i="6" s="1"/>
  <c r="U106" i="5"/>
  <c r="M9" i="7"/>
  <c r="E22" i="13"/>
  <c r="E19" i="13"/>
  <c r="E20" i="13"/>
  <c r="L15" i="7"/>
  <c r="D18" i="13"/>
  <c r="D21" i="13"/>
  <c r="E26" i="7"/>
  <c r="C17" i="12"/>
  <c r="E17" i="12" s="1"/>
  <c r="U264" i="5"/>
  <c r="R264" i="5"/>
  <c r="N264" i="5"/>
  <c r="P264" i="5"/>
  <c r="S264" i="5"/>
  <c r="R263" i="5"/>
  <c r="U263" i="5"/>
  <c r="P263" i="5"/>
  <c r="S263" i="5"/>
  <c r="N263" i="5"/>
  <c r="N262" i="5"/>
  <c r="P262" i="5"/>
  <c r="S262" i="5"/>
  <c r="U262" i="5"/>
  <c r="R262" i="5"/>
  <c r="U249" i="5"/>
  <c r="R249" i="5"/>
  <c r="H59" i="6" s="1"/>
  <c r="N249" i="5"/>
  <c r="P249" i="5"/>
  <c r="S249" i="5"/>
  <c r="U248" i="5"/>
  <c r="R248" i="5"/>
  <c r="N248" i="5"/>
  <c r="P248" i="5"/>
  <c r="S248" i="5"/>
  <c r="U247" i="5"/>
  <c r="R247" i="5"/>
  <c r="N247" i="5"/>
  <c r="P247" i="5"/>
  <c r="S247" i="5"/>
  <c r="U246" i="5"/>
  <c r="R246" i="5"/>
  <c r="N246" i="5"/>
  <c r="P246" i="5"/>
  <c r="S246" i="5"/>
  <c r="U245" i="5"/>
  <c r="R245" i="5"/>
  <c r="N245" i="5"/>
  <c r="P245" i="5"/>
  <c r="S245" i="5"/>
  <c r="U244" i="5"/>
  <c r="R244" i="5"/>
  <c r="N244" i="5"/>
  <c r="P244" i="5"/>
  <c r="S244" i="5"/>
  <c r="U243" i="5"/>
  <c r="R243" i="5"/>
  <c r="N243" i="5"/>
  <c r="P243" i="5"/>
  <c r="S243" i="5"/>
  <c r="U242" i="5"/>
  <c r="R242" i="5"/>
  <c r="N242" i="5"/>
  <c r="P242" i="5"/>
  <c r="S242" i="5"/>
  <c r="U241" i="5"/>
  <c r="R241" i="5"/>
  <c r="H58" i="6" s="1"/>
  <c r="N241" i="5"/>
  <c r="P241" i="5"/>
  <c r="F58" i="6" s="1"/>
  <c r="S241" i="5"/>
  <c r="U240" i="5"/>
  <c r="R240" i="5"/>
  <c r="N240" i="5"/>
  <c r="P240" i="5"/>
  <c r="S240" i="5"/>
  <c r="U239" i="5"/>
  <c r="R239" i="5"/>
  <c r="N239" i="5"/>
  <c r="P239" i="5"/>
  <c r="S239" i="5"/>
  <c r="U238" i="5"/>
  <c r="R238" i="5"/>
  <c r="N238" i="5"/>
  <c r="P238" i="5"/>
  <c r="S238" i="5"/>
  <c r="U237" i="5"/>
  <c r="R237" i="5"/>
  <c r="N237" i="5"/>
  <c r="P237" i="5"/>
  <c r="S237" i="5"/>
  <c r="R215" i="5"/>
  <c r="U215" i="5"/>
  <c r="N215" i="5"/>
  <c r="P215" i="5"/>
  <c r="S215" i="5"/>
  <c r="R214" i="5"/>
  <c r="U214" i="5"/>
  <c r="N214" i="5"/>
  <c r="P214" i="5"/>
  <c r="S214" i="5"/>
  <c r="U213" i="5"/>
  <c r="R213" i="5"/>
  <c r="N213" i="5"/>
  <c r="P213" i="5"/>
  <c r="S213" i="5"/>
  <c r="R212" i="5"/>
  <c r="U212" i="5"/>
  <c r="N212" i="5"/>
  <c r="P212" i="5"/>
  <c r="S212" i="5"/>
  <c r="U211" i="5"/>
  <c r="R211" i="5"/>
  <c r="N211" i="5"/>
  <c r="P211" i="5"/>
  <c r="S211" i="5"/>
  <c r="U210" i="5"/>
  <c r="R210" i="5"/>
  <c r="N210" i="5"/>
  <c r="P210" i="5"/>
  <c r="S210" i="5"/>
  <c r="U209" i="5"/>
  <c r="R209" i="5"/>
  <c r="N209" i="5"/>
  <c r="P209" i="5"/>
  <c r="S209" i="5"/>
  <c r="U208" i="5"/>
  <c r="R208" i="5"/>
  <c r="N208" i="5"/>
  <c r="P208" i="5"/>
  <c r="S208" i="5"/>
  <c r="R185" i="5"/>
  <c r="U185" i="5"/>
  <c r="N185" i="5"/>
  <c r="P185" i="5"/>
  <c r="S185" i="5"/>
  <c r="R182" i="5"/>
  <c r="U182" i="5"/>
  <c r="N182" i="5"/>
  <c r="P182" i="5"/>
  <c r="S182" i="5"/>
  <c r="U160" i="5"/>
  <c r="R160" i="5"/>
  <c r="N160" i="5"/>
  <c r="P160" i="5"/>
  <c r="S160" i="5"/>
  <c r="R157" i="5"/>
  <c r="U157" i="5"/>
  <c r="N157" i="5"/>
  <c r="P157" i="5"/>
  <c r="S157" i="5"/>
  <c r="U95" i="5"/>
  <c r="R95" i="5"/>
  <c r="N95" i="5"/>
  <c r="P95" i="5"/>
  <c r="S95" i="5"/>
  <c r="R94" i="5"/>
  <c r="U94" i="5"/>
  <c r="N94" i="5"/>
  <c r="P94" i="5"/>
  <c r="S94" i="5"/>
  <c r="U93" i="5"/>
  <c r="R93" i="5"/>
  <c r="N93" i="5"/>
  <c r="P93" i="5"/>
  <c r="S93" i="5"/>
  <c r="U92" i="5"/>
  <c r="R92" i="5"/>
  <c r="S92" i="5"/>
  <c r="N92" i="5"/>
  <c r="P92" i="5"/>
  <c r="U91" i="5"/>
  <c r="R91" i="5"/>
  <c r="S91" i="5"/>
  <c r="N91" i="5"/>
  <c r="P91" i="5"/>
  <c r="U90" i="5"/>
  <c r="R90" i="5"/>
  <c r="S90" i="5"/>
  <c r="N90" i="5"/>
  <c r="P90" i="5"/>
  <c r="R89" i="5"/>
  <c r="U89" i="5"/>
  <c r="S89" i="5"/>
  <c r="N89" i="5"/>
  <c r="P89" i="5"/>
  <c r="S88" i="5"/>
  <c r="N88" i="5"/>
  <c r="P88" i="5"/>
  <c r="R88" i="5"/>
  <c r="U88" i="5"/>
  <c r="R87" i="5"/>
  <c r="U87" i="5"/>
  <c r="S87" i="5"/>
  <c r="N87" i="5"/>
  <c r="P87" i="5"/>
  <c r="U86" i="5"/>
  <c r="R86" i="5"/>
  <c r="N86" i="5"/>
  <c r="P86" i="5"/>
  <c r="S86" i="5"/>
  <c r="U85" i="5"/>
  <c r="R85" i="5"/>
  <c r="P85" i="5"/>
  <c r="N85" i="5"/>
  <c r="S85" i="5"/>
  <c r="R84" i="5"/>
  <c r="U84" i="5"/>
  <c r="N84" i="5"/>
  <c r="P84" i="5"/>
  <c r="S84" i="5"/>
  <c r="U83" i="5"/>
  <c r="R83" i="5"/>
  <c r="S83" i="5"/>
  <c r="N83" i="5"/>
  <c r="P83" i="5"/>
  <c r="R82" i="5"/>
  <c r="U82" i="5"/>
  <c r="S82" i="5"/>
  <c r="N82" i="5"/>
  <c r="P82" i="5"/>
  <c r="R81" i="5"/>
  <c r="H38" i="6" s="1"/>
  <c r="U81" i="5"/>
  <c r="N81" i="5"/>
  <c r="P81" i="5"/>
  <c r="F38" i="6" s="1"/>
  <c r="S81" i="5"/>
  <c r="U80" i="5"/>
  <c r="R80" i="5"/>
  <c r="S80" i="5"/>
  <c r="N80" i="5"/>
  <c r="P80" i="5"/>
  <c r="R79" i="5"/>
  <c r="U79" i="5"/>
  <c r="N79" i="5"/>
  <c r="S79" i="5"/>
  <c r="P79" i="5"/>
  <c r="R78" i="5"/>
  <c r="U78" i="5"/>
  <c r="N78" i="5"/>
  <c r="P78" i="5"/>
  <c r="S78" i="5"/>
  <c r="N77" i="5"/>
  <c r="P77" i="5"/>
  <c r="S77" i="5"/>
  <c r="R77" i="5"/>
  <c r="U77" i="5"/>
  <c r="U76" i="5"/>
  <c r="R76" i="5"/>
  <c r="N76" i="5"/>
  <c r="P76" i="5"/>
  <c r="S76" i="5"/>
  <c r="S73" i="5"/>
  <c r="N73" i="5"/>
  <c r="P73" i="5"/>
  <c r="U73" i="5"/>
  <c r="R73" i="5"/>
  <c r="N72" i="5"/>
  <c r="P72" i="5"/>
  <c r="S72" i="5"/>
  <c r="U72" i="5"/>
  <c r="R72" i="5"/>
  <c r="U71" i="5"/>
  <c r="R71" i="5"/>
  <c r="N71" i="5"/>
  <c r="P71" i="5"/>
  <c r="S71" i="5"/>
  <c r="S70" i="5"/>
  <c r="N70" i="5"/>
  <c r="P70" i="5"/>
  <c r="U70" i="5"/>
  <c r="R70" i="5"/>
  <c r="U68" i="5"/>
  <c r="R68" i="5"/>
  <c r="P68" i="5"/>
  <c r="S68" i="5"/>
  <c r="N68" i="5"/>
  <c r="N67" i="5"/>
  <c r="P67" i="5"/>
  <c r="S67" i="5"/>
  <c r="U67" i="5"/>
  <c r="R67" i="5"/>
  <c r="R64" i="5"/>
  <c r="U64" i="5"/>
  <c r="P64" i="5"/>
  <c r="S64" i="5"/>
  <c r="N64" i="5"/>
  <c r="P63" i="5"/>
  <c r="N63" i="5"/>
  <c r="S63" i="5"/>
  <c r="U63" i="5"/>
  <c r="R63" i="5"/>
  <c r="N62" i="5"/>
  <c r="P62" i="5"/>
  <c r="S62" i="5"/>
  <c r="R62" i="5"/>
  <c r="U62" i="5"/>
  <c r="N60" i="5"/>
  <c r="S60" i="5"/>
  <c r="P60" i="5"/>
  <c r="R60" i="5"/>
  <c r="U60" i="5"/>
  <c r="R58" i="5"/>
  <c r="U58" i="5"/>
  <c r="N58" i="5"/>
  <c r="S58" i="5"/>
  <c r="P58" i="5"/>
  <c r="U57" i="5"/>
  <c r="R57" i="5"/>
  <c r="N57" i="5"/>
  <c r="P57" i="5"/>
  <c r="S57" i="5"/>
  <c r="R55" i="5"/>
  <c r="U55" i="5"/>
  <c r="N55" i="5"/>
  <c r="P55" i="5"/>
  <c r="S55" i="5"/>
  <c r="R54" i="5"/>
  <c r="U54" i="5"/>
  <c r="N54" i="5"/>
  <c r="S54" i="5"/>
  <c r="P54" i="5"/>
  <c r="U53" i="5"/>
  <c r="R53" i="5"/>
  <c r="S53" i="5"/>
  <c r="N53" i="5"/>
  <c r="P53" i="5"/>
  <c r="S51" i="5"/>
  <c r="N51" i="5"/>
  <c r="P51" i="5"/>
  <c r="U51" i="5"/>
  <c r="R51" i="5"/>
  <c r="U50" i="5"/>
  <c r="R50" i="5"/>
  <c r="N50" i="5"/>
  <c r="P50" i="5"/>
  <c r="S50" i="5"/>
  <c r="P48" i="5"/>
  <c r="S48" i="5"/>
  <c r="N48" i="5"/>
  <c r="R48" i="5"/>
  <c r="H33" i="6" s="1"/>
  <c r="U48" i="5"/>
  <c r="U38" i="5"/>
  <c r="R38" i="5"/>
  <c r="N38" i="5"/>
  <c r="P38" i="5"/>
  <c r="S38" i="5"/>
  <c r="U37" i="5"/>
  <c r="R37" i="5"/>
  <c r="N37" i="5"/>
  <c r="P37" i="5"/>
  <c r="S37" i="5"/>
  <c r="U36" i="5"/>
  <c r="R36" i="5"/>
  <c r="N36" i="5"/>
  <c r="P36" i="5"/>
  <c r="S36" i="5"/>
  <c r="U35" i="5"/>
  <c r="R35" i="5"/>
  <c r="N35" i="5"/>
  <c r="P35" i="5"/>
  <c r="S35" i="5"/>
  <c r="U33" i="5"/>
  <c r="R33" i="5"/>
  <c r="N33" i="5"/>
  <c r="P33" i="5"/>
  <c r="S33" i="5"/>
  <c r="U32" i="5"/>
  <c r="R32" i="5"/>
  <c r="N32" i="5"/>
  <c r="P32" i="5"/>
  <c r="S32" i="5"/>
  <c r="U30" i="5"/>
  <c r="R30" i="5"/>
  <c r="N30" i="5"/>
  <c r="P30" i="5"/>
  <c r="S30" i="5"/>
  <c r="U29" i="5"/>
  <c r="R29" i="5"/>
  <c r="N29" i="5"/>
  <c r="P29" i="5"/>
  <c r="S29" i="5"/>
  <c r="U28" i="5"/>
  <c r="R28" i="5"/>
  <c r="N28" i="5"/>
  <c r="P28" i="5"/>
  <c r="S28" i="5"/>
  <c r="U27" i="5"/>
  <c r="R27" i="5"/>
  <c r="N27" i="5"/>
  <c r="P27" i="5"/>
  <c r="S27" i="5"/>
  <c r="U26" i="5"/>
  <c r="R26" i="5"/>
  <c r="N26" i="5"/>
  <c r="P26" i="5"/>
  <c r="S26" i="5"/>
  <c r="U25" i="5"/>
  <c r="R25" i="5"/>
  <c r="N25" i="5"/>
  <c r="P25" i="5"/>
  <c r="S25" i="5"/>
  <c r="U24" i="5"/>
  <c r="R24" i="5"/>
  <c r="N24" i="5"/>
  <c r="P24" i="5"/>
  <c r="S24" i="5"/>
  <c r="U23" i="5"/>
  <c r="R23" i="5"/>
  <c r="N23" i="5"/>
  <c r="P23" i="5"/>
  <c r="S23" i="5"/>
  <c r="I261" i="5"/>
  <c r="K261" i="5"/>
  <c r="J261" i="5"/>
  <c r="N260" i="5"/>
  <c r="P260" i="5"/>
  <c r="S260" i="5"/>
  <c r="N259" i="5"/>
  <c r="P259" i="5"/>
  <c r="S259" i="5"/>
  <c r="N258" i="5"/>
  <c r="P258" i="5"/>
  <c r="S258" i="5"/>
  <c r="N257" i="5"/>
  <c r="P257" i="5"/>
  <c r="S257" i="5"/>
  <c r="N256" i="5"/>
  <c r="P256" i="5"/>
  <c r="S256" i="5"/>
  <c r="N255" i="5"/>
  <c r="P255" i="5"/>
  <c r="S255" i="5"/>
  <c r="N254" i="5"/>
  <c r="P254" i="5"/>
  <c r="S254" i="5"/>
  <c r="N253" i="5"/>
  <c r="P253" i="5"/>
  <c r="S253" i="5"/>
  <c r="N252" i="5"/>
  <c r="P252" i="5"/>
  <c r="S252" i="5"/>
  <c r="N251" i="5"/>
  <c r="P251" i="5"/>
  <c r="S251" i="5"/>
  <c r="N250" i="5"/>
  <c r="P250" i="5"/>
  <c r="S250" i="5"/>
  <c r="N234" i="5"/>
  <c r="P234" i="5"/>
  <c r="S234" i="5"/>
  <c r="N233" i="5"/>
  <c r="P233" i="5"/>
  <c r="S233" i="5"/>
  <c r="N232" i="5"/>
  <c r="P232" i="5"/>
  <c r="S232" i="5"/>
  <c r="N231" i="5"/>
  <c r="P231" i="5"/>
  <c r="S231" i="5"/>
  <c r="N186" i="5"/>
  <c r="P186" i="5"/>
  <c r="S186" i="5"/>
  <c r="N187" i="5"/>
  <c r="P187" i="5"/>
  <c r="S187" i="5"/>
  <c r="N188" i="5"/>
  <c r="P188" i="5"/>
  <c r="S188" i="5"/>
  <c r="N189" i="5"/>
  <c r="P189" i="5"/>
  <c r="S189" i="5"/>
  <c r="N190" i="5"/>
  <c r="P190" i="5"/>
  <c r="S190" i="5"/>
  <c r="N191" i="5"/>
  <c r="P191" i="5"/>
  <c r="S191" i="5"/>
  <c r="N192" i="5"/>
  <c r="P192" i="5"/>
  <c r="S192" i="5"/>
  <c r="N181" i="5"/>
  <c r="P181" i="5"/>
  <c r="S181" i="5"/>
  <c r="N180" i="5"/>
  <c r="P180" i="5"/>
  <c r="S180" i="5"/>
  <c r="N179" i="5"/>
  <c r="P179" i="5"/>
  <c r="S179" i="5"/>
  <c r="N178" i="5"/>
  <c r="P178" i="5"/>
  <c r="S178" i="5"/>
  <c r="N177" i="5"/>
  <c r="P177" i="5"/>
  <c r="S177" i="5"/>
  <c r="N176" i="5"/>
  <c r="P176" i="5"/>
  <c r="S176" i="5"/>
  <c r="N175" i="5"/>
  <c r="P175" i="5"/>
  <c r="S175" i="5"/>
  <c r="N174" i="5"/>
  <c r="P174" i="5"/>
  <c r="S174" i="5"/>
  <c r="N173" i="5"/>
  <c r="P173" i="5"/>
  <c r="S173" i="5"/>
  <c r="N172" i="5"/>
  <c r="P172" i="5"/>
  <c r="S172" i="5"/>
  <c r="N171" i="5"/>
  <c r="P171" i="5"/>
  <c r="S171" i="5"/>
  <c r="N170" i="5"/>
  <c r="P170" i="5"/>
  <c r="S170" i="5"/>
  <c r="N169" i="5"/>
  <c r="P169" i="5"/>
  <c r="F49" i="6" s="1"/>
  <c r="S169" i="5"/>
  <c r="N168" i="5"/>
  <c r="P168" i="5"/>
  <c r="S168" i="5"/>
  <c r="N167" i="5"/>
  <c r="P167" i="5"/>
  <c r="S167" i="5"/>
  <c r="N166" i="5"/>
  <c r="P166" i="5"/>
  <c r="S166" i="5"/>
  <c r="N165" i="5"/>
  <c r="P165" i="5"/>
  <c r="S165" i="5"/>
  <c r="N164" i="5"/>
  <c r="P164" i="5"/>
  <c r="S164" i="5"/>
  <c r="N163" i="5"/>
  <c r="P163" i="5"/>
  <c r="S163" i="5"/>
  <c r="N162" i="5"/>
  <c r="P162" i="5"/>
  <c r="S162" i="5"/>
  <c r="N193" i="5"/>
  <c r="P193" i="5"/>
  <c r="S193" i="5"/>
  <c r="N194" i="5"/>
  <c r="P194" i="5"/>
  <c r="S194" i="5"/>
  <c r="N195" i="5"/>
  <c r="P195" i="5"/>
  <c r="S195" i="5"/>
  <c r="N196" i="5"/>
  <c r="P196" i="5"/>
  <c r="S196" i="5"/>
  <c r="N197" i="5"/>
  <c r="P197" i="5"/>
  <c r="S197" i="5"/>
  <c r="N198" i="5"/>
  <c r="P198" i="5"/>
  <c r="S198" i="5"/>
  <c r="N199" i="5"/>
  <c r="P199" i="5"/>
  <c r="S199" i="5"/>
  <c r="N200" i="5"/>
  <c r="P200" i="5"/>
  <c r="S200" i="5"/>
  <c r="N201" i="5"/>
  <c r="P201" i="5"/>
  <c r="S201" i="5"/>
  <c r="N154" i="5"/>
  <c r="P154" i="5"/>
  <c r="S154" i="5"/>
  <c r="N153" i="5"/>
  <c r="P153" i="5"/>
  <c r="S153" i="5"/>
  <c r="N152" i="5"/>
  <c r="P152" i="5"/>
  <c r="S152" i="5"/>
  <c r="N151" i="5"/>
  <c r="P151" i="5"/>
  <c r="S151" i="5"/>
  <c r="N150" i="5"/>
  <c r="P150" i="5"/>
  <c r="S150" i="5"/>
  <c r="N149" i="5"/>
  <c r="P149" i="5"/>
  <c r="S149" i="5"/>
  <c r="N148" i="5"/>
  <c r="P148" i="5"/>
  <c r="S148" i="5"/>
  <c r="N146" i="5"/>
  <c r="P146" i="5"/>
  <c r="S146" i="5"/>
  <c r="N145" i="5"/>
  <c r="P145" i="5"/>
  <c r="S145" i="5"/>
  <c r="N144" i="5"/>
  <c r="P144" i="5"/>
  <c r="S144" i="5"/>
  <c r="N143" i="5"/>
  <c r="P143" i="5"/>
  <c r="S143" i="5"/>
  <c r="N142" i="5"/>
  <c r="P142" i="5"/>
  <c r="S142" i="5"/>
  <c r="N141" i="5"/>
  <c r="P141" i="5"/>
  <c r="S141" i="5"/>
  <c r="N140" i="5"/>
  <c r="P140" i="5"/>
  <c r="S140" i="5"/>
  <c r="N139" i="5"/>
  <c r="P139" i="5"/>
  <c r="S139" i="5"/>
  <c r="N138" i="5"/>
  <c r="P138" i="5"/>
  <c r="S138" i="5"/>
  <c r="N137" i="5"/>
  <c r="P137" i="5"/>
  <c r="F45" i="6" s="1"/>
  <c r="S137" i="5"/>
  <c r="N136" i="5"/>
  <c r="P136" i="5"/>
  <c r="S136" i="5"/>
  <c r="N135" i="5"/>
  <c r="P135" i="5"/>
  <c r="S135" i="5"/>
  <c r="N134" i="5"/>
  <c r="P134" i="5"/>
  <c r="S134" i="5"/>
  <c r="N133" i="5"/>
  <c r="P133" i="5"/>
  <c r="S133" i="5"/>
  <c r="N132" i="5"/>
  <c r="P132" i="5"/>
  <c r="S132" i="5"/>
  <c r="N131" i="5"/>
  <c r="P131" i="5"/>
  <c r="S131" i="5"/>
  <c r="N130" i="5"/>
  <c r="P130" i="5"/>
  <c r="S130" i="5"/>
  <c r="N129" i="5"/>
  <c r="P129" i="5"/>
  <c r="S129" i="5"/>
  <c r="N128" i="5"/>
  <c r="P128" i="5"/>
  <c r="S128" i="5"/>
  <c r="N98" i="5"/>
  <c r="P98" i="5"/>
  <c r="S98" i="5"/>
  <c r="N96" i="5"/>
  <c r="P96" i="5"/>
  <c r="S96" i="5"/>
  <c r="N202" i="5"/>
  <c r="P202" i="5"/>
  <c r="S202" i="5"/>
  <c r="N203" i="5"/>
  <c r="P203" i="5"/>
  <c r="S203" i="5"/>
  <c r="N127" i="5"/>
  <c r="P127" i="5"/>
  <c r="S127" i="5"/>
  <c r="N126" i="5"/>
  <c r="P126" i="5"/>
  <c r="S126" i="5"/>
  <c r="N147" i="5"/>
  <c r="P147" i="5"/>
  <c r="S147" i="5"/>
  <c r="N125" i="5"/>
  <c r="P125" i="5"/>
  <c r="S125" i="5"/>
  <c r="N124" i="5"/>
  <c r="P124" i="5"/>
  <c r="S124" i="5"/>
  <c r="N123" i="5"/>
  <c r="P123" i="5"/>
  <c r="S123" i="5"/>
  <c r="N122" i="5"/>
  <c r="P122" i="5"/>
  <c r="S122" i="5"/>
  <c r="N121" i="5"/>
  <c r="P121" i="5"/>
  <c r="F43" i="6" s="1"/>
  <c r="S121" i="5"/>
  <c r="N120" i="5"/>
  <c r="P120" i="5"/>
  <c r="S120" i="5"/>
  <c r="N119" i="5"/>
  <c r="P119" i="5"/>
  <c r="S119" i="5"/>
  <c r="N118" i="5"/>
  <c r="P118" i="5"/>
  <c r="S118" i="5"/>
  <c r="N117" i="5"/>
  <c r="P117" i="5"/>
  <c r="S117" i="5"/>
  <c r="N116" i="5"/>
  <c r="P116" i="5"/>
  <c r="S116" i="5"/>
  <c r="N115" i="5"/>
  <c r="P115" i="5"/>
  <c r="S115" i="5"/>
  <c r="N114" i="5"/>
  <c r="P114" i="5"/>
  <c r="S114" i="5"/>
  <c r="N113" i="5"/>
  <c r="P113" i="5"/>
  <c r="S113" i="5"/>
  <c r="N112" i="5"/>
  <c r="P112" i="5"/>
  <c r="S112" i="5"/>
  <c r="N111" i="5"/>
  <c r="P111" i="5"/>
  <c r="S111" i="5"/>
  <c r="N110" i="5"/>
  <c r="P110" i="5"/>
  <c r="S110" i="5"/>
  <c r="N109" i="5"/>
  <c r="P109" i="5"/>
  <c r="S109" i="5"/>
  <c r="N108" i="5"/>
  <c r="P108" i="5"/>
  <c r="S108" i="5"/>
  <c r="N107" i="5"/>
  <c r="P107" i="5"/>
  <c r="S107" i="5"/>
  <c r="N106" i="5"/>
  <c r="P106" i="5"/>
  <c r="S106" i="5"/>
  <c r="N105" i="5"/>
  <c r="P105" i="5"/>
  <c r="F41" i="6" s="1"/>
  <c r="S105" i="5"/>
  <c r="N104" i="5"/>
  <c r="P104" i="5"/>
  <c r="S104" i="5"/>
  <c r="N103" i="5"/>
  <c r="P103" i="5"/>
  <c r="S103" i="5"/>
  <c r="N102" i="5"/>
  <c r="P102" i="5"/>
  <c r="S102" i="5"/>
  <c r="N100" i="5"/>
  <c r="P100" i="5"/>
  <c r="S100" i="5"/>
  <c r="N99" i="5"/>
  <c r="P99" i="5"/>
  <c r="S99" i="5"/>
  <c r="S97" i="5"/>
  <c r="N97" i="5"/>
  <c r="P97" i="5"/>
  <c r="N101" i="5"/>
  <c r="P101" i="5"/>
  <c r="S101" i="5"/>
  <c r="N74" i="5"/>
  <c r="P74" i="5"/>
  <c r="S74" i="5"/>
  <c r="N204" i="5"/>
  <c r="P204" i="5"/>
  <c r="S204" i="5"/>
  <c r="N205" i="5"/>
  <c r="P205" i="5"/>
  <c r="S205" i="5"/>
  <c r="N206" i="5"/>
  <c r="P206" i="5"/>
  <c r="S206" i="5"/>
  <c r="N207" i="5"/>
  <c r="P207" i="5"/>
  <c r="S207" i="5"/>
  <c r="N222" i="5"/>
  <c r="P222" i="5"/>
  <c r="S222" i="5"/>
  <c r="N223" i="5"/>
  <c r="P223" i="5"/>
  <c r="S223" i="5"/>
  <c r="N224" i="5"/>
  <c r="P224" i="5"/>
  <c r="S224" i="5"/>
  <c r="N225" i="5"/>
  <c r="P225" i="5"/>
  <c r="S225" i="5"/>
  <c r="N226" i="5"/>
  <c r="P226" i="5"/>
  <c r="S226" i="5"/>
  <c r="N47" i="5"/>
  <c r="P47" i="5"/>
  <c r="S47" i="5"/>
  <c r="N46" i="5"/>
  <c r="P46" i="5"/>
  <c r="S46" i="5"/>
  <c r="N45" i="5"/>
  <c r="P45" i="5"/>
  <c r="S45" i="5"/>
  <c r="N44" i="5"/>
  <c r="P44" i="5"/>
  <c r="S44" i="5"/>
  <c r="N43" i="5"/>
  <c r="P43" i="5"/>
  <c r="S43" i="5"/>
  <c r="N42" i="5"/>
  <c r="P42" i="5"/>
  <c r="S42" i="5"/>
  <c r="N41" i="5"/>
  <c r="P41" i="5"/>
  <c r="S41" i="5"/>
  <c r="N40" i="5"/>
  <c r="P40" i="5"/>
  <c r="S40" i="5"/>
  <c r="N227" i="5"/>
  <c r="P227" i="5"/>
  <c r="S227" i="5"/>
  <c r="N228" i="5"/>
  <c r="P228" i="5"/>
  <c r="S228" i="5"/>
  <c r="N229" i="5"/>
  <c r="P229" i="5"/>
  <c r="S229" i="5"/>
  <c r="N230" i="5"/>
  <c r="P230" i="5"/>
  <c r="S230" i="5"/>
  <c r="N21" i="5"/>
  <c r="P21" i="5"/>
  <c r="S21" i="5"/>
  <c r="N20" i="5"/>
  <c r="P20" i="5"/>
  <c r="S20" i="5"/>
  <c r="N19" i="5"/>
  <c r="P19" i="5"/>
  <c r="S19" i="5"/>
  <c r="N18" i="5"/>
  <c r="P18" i="5"/>
  <c r="S18" i="5"/>
  <c r="N17" i="5"/>
  <c r="P17" i="5"/>
  <c r="S17" i="5"/>
  <c r="N16" i="5"/>
  <c r="P16" i="5"/>
  <c r="S16" i="5"/>
  <c r="N15" i="5"/>
  <c r="P15" i="5"/>
  <c r="S15" i="5"/>
  <c r="N14" i="5"/>
  <c r="P14" i="5"/>
  <c r="S14" i="5"/>
  <c r="N13" i="5"/>
  <c r="P13" i="5"/>
  <c r="S13" i="5"/>
  <c r="N12" i="5"/>
  <c r="P12" i="5"/>
  <c r="S12" i="5"/>
  <c r="N11" i="5"/>
  <c r="P11" i="5"/>
  <c r="S11" i="5"/>
  <c r="N10" i="5"/>
  <c r="P10" i="5"/>
  <c r="S10" i="5"/>
  <c r="N9" i="5"/>
  <c r="P9" i="5"/>
  <c r="F29" i="6" s="1"/>
  <c r="S9" i="5"/>
  <c r="F24" i="7"/>
  <c r="C12" i="12"/>
  <c r="E12" i="12" s="1"/>
  <c r="H26" i="4"/>
  <c r="L26" i="4" s="1"/>
  <c r="E26" i="4"/>
  <c r="D26" i="4"/>
  <c r="K26" i="4" s="1"/>
  <c r="C26" i="4"/>
  <c r="H25" i="4"/>
  <c r="L25" i="4" s="1"/>
  <c r="E25" i="4"/>
  <c r="D25" i="4"/>
  <c r="K25" i="4" s="1"/>
  <c r="C25" i="4"/>
  <c r="H24" i="4"/>
  <c r="L24" i="4" s="1"/>
  <c r="E24" i="4"/>
  <c r="D24" i="4"/>
  <c r="K24" i="4" s="1"/>
  <c r="C24" i="4"/>
  <c r="H23" i="4"/>
  <c r="L23" i="4" s="1"/>
  <c r="E23" i="4"/>
  <c r="D23" i="4"/>
  <c r="K23" i="4" s="1"/>
  <c r="C23" i="4"/>
  <c r="H22" i="4"/>
  <c r="L22" i="4" s="1"/>
  <c r="E22" i="4"/>
  <c r="D22" i="4"/>
  <c r="K22" i="4" s="1"/>
  <c r="C22" i="4"/>
  <c r="H21" i="4"/>
  <c r="L21" i="4" s="1"/>
  <c r="E21" i="4"/>
  <c r="D21" i="4"/>
  <c r="K21" i="4" s="1"/>
  <c r="C21" i="4"/>
  <c r="H20" i="4"/>
  <c r="L20" i="4" s="1"/>
  <c r="E20" i="4"/>
  <c r="D20" i="4"/>
  <c r="K20" i="4" s="1"/>
  <c r="C20" i="4"/>
  <c r="H19" i="4"/>
  <c r="L19" i="4" s="1"/>
  <c r="L27" i="4" s="1"/>
  <c r="E19" i="4"/>
  <c r="D19" i="4"/>
  <c r="K19" i="4" s="1"/>
  <c r="K27" i="4" s="1"/>
  <c r="C19" i="4"/>
  <c r="D13" i="4"/>
  <c r="C13" i="4"/>
  <c r="D12" i="4"/>
  <c r="C12" i="4"/>
  <c r="C14" i="4" s="1"/>
  <c r="C15" i="4" s="1"/>
  <c r="C9" i="4"/>
  <c r="C8" i="4"/>
  <c r="E8" i="11"/>
  <c r="E10" i="11"/>
  <c r="E12" i="11"/>
  <c r="E15" i="11"/>
  <c r="E18" i="11"/>
  <c r="E19" i="11"/>
  <c r="B9" i="9"/>
  <c r="D24" i="10"/>
  <c r="E9" i="11"/>
  <c r="E16" i="11"/>
  <c r="E20" i="11"/>
  <c r="E21" i="11"/>
  <c r="E11" i="11"/>
  <c r="E13" i="11"/>
  <c r="E14" i="11"/>
  <c r="E22" i="11"/>
  <c r="E7" i="11"/>
  <c r="E17" i="11"/>
  <c r="E24" i="10"/>
  <c r="B10" i="9"/>
  <c r="B11" i="9"/>
  <c r="F24" i="10"/>
  <c r="B12" i="9"/>
  <c r="G24" i="10"/>
  <c r="B13" i="9"/>
  <c r="H24" i="10"/>
  <c r="I24" i="10"/>
  <c r="B14" i="9"/>
  <c r="B15" i="9"/>
  <c r="J24" i="10"/>
  <c r="K24" i="10"/>
  <c r="B16" i="9"/>
  <c r="R186" i="5"/>
  <c r="U186" i="5"/>
  <c r="R187" i="5"/>
  <c r="U187" i="5"/>
  <c r="R188" i="5"/>
  <c r="U188" i="5"/>
  <c r="R189" i="5"/>
  <c r="U189" i="5"/>
  <c r="R190" i="5"/>
  <c r="U190" i="5"/>
  <c r="R191" i="5"/>
  <c r="U191" i="5"/>
  <c r="R192" i="5"/>
  <c r="U192" i="5"/>
  <c r="R193" i="5"/>
  <c r="U193" i="5"/>
  <c r="R194" i="5"/>
  <c r="U194" i="5"/>
  <c r="R195" i="5"/>
  <c r="U195" i="5"/>
  <c r="R196" i="5"/>
  <c r="U196" i="5"/>
  <c r="R197" i="5"/>
  <c r="U197" i="5"/>
  <c r="R199" i="5"/>
  <c r="U199" i="5"/>
  <c r="R200" i="5"/>
  <c r="U200" i="5"/>
  <c r="R201" i="5"/>
  <c r="U201" i="5"/>
  <c r="R98" i="5"/>
  <c r="H40" i="6" s="1"/>
  <c r="U98" i="5"/>
  <c r="U96" i="5"/>
  <c r="R96" i="5"/>
  <c r="R202" i="5"/>
  <c r="U202" i="5"/>
  <c r="R203" i="5"/>
  <c r="U203" i="5"/>
  <c r="R126" i="5"/>
  <c r="H43" i="6" s="1"/>
  <c r="U126" i="5"/>
  <c r="R147" i="5"/>
  <c r="H46" i="6" s="1"/>
  <c r="U147" i="5"/>
  <c r="R204" i="5"/>
  <c r="U204" i="5"/>
  <c r="U205" i="5"/>
  <c r="R205" i="5"/>
  <c r="R206" i="5"/>
  <c r="U206" i="5"/>
  <c r="R207" i="5"/>
  <c r="U207" i="5"/>
  <c r="R222" i="5"/>
  <c r="U222" i="5"/>
  <c r="R223" i="5"/>
  <c r="U223" i="5"/>
  <c r="R224" i="5"/>
  <c r="U224" i="5"/>
  <c r="R225" i="5"/>
  <c r="H56" i="6" s="1"/>
  <c r="U225" i="5"/>
  <c r="R226" i="5"/>
  <c r="U226" i="5"/>
  <c r="R227" i="5"/>
  <c r="U227" i="5"/>
  <c r="R228" i="5"/>
  <c r="U228" i="5"/>
  <c r="R229" i="5"/>
  <c r="U229" i="5"/>
  <c r="U230" i="5"/>
  <c r="R230" i="5"/>
  <c r="F51" i="6" l="1"/>
  <c r="F39" i="6"/>
  <c r="F52" i="6"/>
  <c r="F46" i="6"/>
  <c r="F42" i="6"/>
  <c r="F40" i="6"/>
  <c r="F56" i="6"/>
  <c r="H52" i="6"/>
  <c r="U183" i="5"/>
  <c r="R183" i="5"/>
  <c r="S183" i="5"/>
  <c r="P183" i="5"/>
  <c r="F50" i="6" s="1"/>
  <c r="N183" i="5"/>
  <c r="S161" i="5"/>
  <c r="P161" i="5"/>
  <c r="F48" i="6" s="1"/>
  <c r="N161" i="5"/>
  <c r="R161" i="5"/>
  <c r="H48" i="6" s="1"/>
  <c r="U161" i="5"/>
  <c r="S158" i="5"/>
  <c r="P158" i="5"/>
  <c r="C21" i="6" s="1"/>
  <c r="N158" i="5"/>
  <c r="U158" i="5"/>
  <c r="R158" i="5"/>
  <c r="E21" i="6" s="1"/>
  <c r="R75" i="5"/>
  <c r="E18" i="6" s="1"/>
  <c r="U75" i="5"/>
  <c r="S75" i="5"/>
  <c r="N75" i="5"/>
  <c r="P75" i="5"/>
  <c r="C18" i="6" s="1"/>
  <c r="U65" i="5"/>
  <c r="R65" i="5"/>
  <c r="P65" i="5"/>
  <c r="S65" i="5"/>
  <c r="N65" i="5"/>
  <c r="S59" i="5"/>
  <c r="N59" i="5"/>
  <c r="P59" i="5"/>
  <c r="R59" i="5"/>
  <c r="U59" i="5"/>
  <c r="R52" i="5"/>
  <c r="U52" i="5"/>
  <c r="S52" i="5"/>
  <c r="N52" i="5"/>
  <c r="P52" i="5"/>
  <c r="P49" i="5"/>
  <c r="N49" i="5"/>
  <c r="S49" i="5"/>
  <c r="R49" i="5"/>
  <c r="U49" i="5"/>
  <c r="U34" i="5"/>
  <c r="R34" i="5"/>
  <c r="S34" i="5"/>
  <c r="N34" i="5"/>
  <c r="P34" i="5"/>
  <c r="U236" i="5"/>
  <c r="R236" i="5"/>
  <c r="N236" i="5"/>
  <c r="S236" i="5"/>
  <c r="P236" i="5"/>
  <c r="R235" i="5"/>
  <c r="H57" i="6" s="1"/>
  <c r="U235" i="5"/>
  <c r="S235" i="5"/>
  <c r="P235" i="5"/>
  <c r="F57" i="6" s="1"/>
  <c r="N235" i="5"/>
  <c r="S184" i="5"/>
  <c r="P184" i="5"/>
  <c r="N184" i="5"/>
  <c r="R184" i="5"/>
  <c r="U184" i="5"/>
  <c r="P159" i="5"/>
  <c r="C22" i="6" s="1"/>
  <c r="S159" i="5"/>
  <c r="N159" i="5"/>
  <c r="R159" i="5"/>
  <c r="E22" i="6" s="1"/>
  <c r="U159" i="5"/>
  <c r="R156" i="5"/>
  <c r="E19" i="6" s="1"/>
  <c r="U156" i="5"/>
  <c r="S156" i="5"/>
  <c r="N156" i="5"/>
  <c r="P156" i="5"/>
  <c r="C19" i="6" s="1"/>
  <c r="N69" i="5"/>
  <c r="S69" i="5"/>
  <c r="P69" i="5"/>
  <c r="R69" i="5"/>
  <c r="U69" i="5"/>
  <c r="R66" i="5"/>
  <c r="U66" i="5"/>
  <c r="P66" i="5"/>
  <c r="S66" i="5"/>
  <c r="N66" i="5"/>
  <c r="R61" i="5"/>
  <c r="U61" i="5"/>
  <c r="P61" i="5"/>
  <c r="S61" i="5"/>
  <c r="N61" i="5"/>
  <c r="R56" i="5"/>
  <c r="U56" i="5"/>
  <c r="P56" i="5"/>
  <c r="N56" i="5"/>
  <c r="S56" i="5"/>
  <c r="R39" i="5"/>
  <c r="U39" i="5"/>
  <c r="P39" i="5"/>
  <c r="S39" i="5"/>
  <c r="N39" i="5"/>
  <c r="R31" i="5"/>
  <c r="H31" i="6" s="1"/>
  <c r="U31" i="5"/>
  <c r="P31" i="5"/>
  <c r="F31" i="6" s="1"/>
  <c r="S31" i="5"/>
  <c r="N31" i="5"/>
  <c r="S22" i="5"/>
  <c r="P22" i="5"/>
  <c r="F30" i="6" s="1"/>
  <c r="N22" i="5"/>
  <c r="R22" i="5"/>
  <c r="H30" i="6" s="1"/>
  <c r="U22" i="5"/>
  <c r="R221" i="5"/>
  <c r="H55" i="6" s="1"/>
  <c r="U221" i="5"/>
  <c r="S221" i="5"/>
  <c r="P221" i="5"/>
  <c r="N221" i="5"/>
  <c r="N220" i="5"/>
  <c r="P220" i="5"/>
  <c r="S220" i="5"/>
  <c r="U220" i="5"/>
  <c r="R220" i="5"/>
  <c r="R219" i="5"/>
  <c r="U219" i="5"/>
  <c r="N219" i="5"/>
  <c r="P219" i="5"/>
  <c r="S219" i="5"/>
  <c r="R218" i="5"/>
  <c r="U218" i="5"/>
  <c r="P218" i="5"/>
  <c r="S218" i="5"/>
  <c r="N218" i="5"/>
  <c r="R217" i="5"/>
  <c r="U217" i="5"/>
  <c r="S217" i="5"/>
  <c r="P217" i="5"/>
  <c r="F55" i="6" s="1"/>
  <c r="N217" i="5"/>
  <c r="U216" i="5"/>
  <c r="R216" i="5"/>
  <c r="H54" i="6" s="1"/>
  <c r="N216" i="5"/>
  <c r="P216" i="5"/>
  <c r="F54" i="6" s="1"/>
  <c r="S216" i="5"/>
  <c r="R155" i="5"/>
  <c r="U155" i="5"/>
  <c r="S155" i="5"/>
  <c r="P155" i="5"/>
  <c r="N155" i="5"/>
  <c r="H19" i="13"/>
  <c r="I19" i="13"/>
  <c r="G19" i="13"/>
  <c r="H20" i="13"/>
  <c r="I20" i="13"/>
  <c r="G20" i="13"/>
  <c r="O9" i="7"/>
  <c r="M15" i="7"/>
  <c r="E18" i="13"/>
  <c r="H18" i="13" s="1"/>
  <c r="E21" i="13"/>
  <c r="H21" i="13" s="1"/>
  <c r="I18" i="13"/>
  <c r="G18" i="13"/>
  <c r="I21" i="13"/>
  <c r="G21" i="13"/>
  <c r="Q264" i="5"/>
  <c r="T264" i="5"/>
  <c r="Q263" i="5"/>
  <c r="T263" i="5"/>
  <c r="T262" i="5"/>
  <c r="Q262" i="5"/>
  <c r="Q249" i="5"/>
  <c r="T249" i="5"/>
  <c r="Q248" i="5"/>
  <c r="T248" i="5"/>
  <c r="Q247" i="5"/>
  <c r="T247" i="5"/>
  <c r="Q246" i="5"/>
  <c r="T246" i="5"/>
  <c r="Q245" i="5"/>
  <c r="T245" i="5"/>
  <c r="Q244" i="5"/>
  <c r="T244" i="5"/>
  <c r="Q243" i="5"/>
  <c r="T243" i="5"/>
  <c r="Q242" i="5"/>
  <c r="T242" i="5"/>
  <c r="Q241" i="5"/>
  <c r="G58" i="6" s="1"/>
  <c r="I58" i="6" s="1"/>
  <c r="T241" i="5"/>
  <c r="Q240" i="5"/>
  <c r="T240" i="5"/>
  <c r="Q239" i="5"/>
  <c r="T239" i="5"/>
  <c r="Q238" i="5"/>
  <c r="T238" i="5"/>
  <c r="Q237" i="5"/>
  <c r="T237" i="5"/>
  <c r="Q221" i="5"/>
  <c r="T221" i="5"/>
  <c r="Q220" i="5"/>
  <c r="T220" i="5"/>
  <c r="Q219" i="5"/>
  <c r="T219" i="5"/>
  <c r="Q218" i="5"/>
  <c r="T218" i="5"/>
  <c r="Q217" i="5"/>
  <c r="T217" i="5"/>
  <c r="Q216" i="5"/>
  <c r="T216" i="5"/>
  <c r="Q215" i="5"/>
  <c r="T215" i="5"/>
  <c r="Q214" i="5"/>
  <c r="T214" i="5"/>
  <c r="Q213" i="5"/>
  <c r="T213" i="5"/>
  <c r="Q212" i="5"/>
  <c r="T212" i="5"/>
  <c r="Q211" i="5"/>
  <c r="T211" i="5"/>
  <c r="Q210" i="5"/>
  <c r="T210" i="5"/>
  <c r="Q209" i="5"/>
  <c r="G54" i="6" s="1"/>
  <c r="I54" i="6" s="1"/>
  <c r="T209" i="5"/>
  <c r="Q208" i="5"/>
  <c r="T208" i="5"/>
  <c r="Q185" i="5"/>
  <c r="G51" i="6" s="1"/>
  <c r="I51" i="6" s="1"/>
  <c r="T185" i="5"/>
  <c r="Q184" i="5"/>
  <c r="T184" i="5"/>
  <c r="Q183" i="5"/>
  <c r="T183" i="5"/>
  <c r="Q182" i="5"/>
  <c r="T182" i="5"/>
  <c r="Q161" i="5"/>
  <c r="T161" i="5"/>
  <c r="Q160" i="5"/>
  <c r="T160" i="5"/>
  <c r="Q159" i="5"/>
  <c r="T159" i="5"/>
  <c r="Q158" i="5"/>
  <c r="T158" i="5"/>
  <c r="Q157" i="5"/>
  <c r="T157" i="5"/>
  <c r="T156" i="5"/>
  <c r="Q156" i="5"/>
  <c r="Q155" i="5"/>
  <c r="T155" i="5"/>
  <c r="Q95" i="5"/>
  <c r="T95" i="5"/>
  <c r="T94" i="5"/>
  <c r="Q94" i="5"/>
  <c r="T93" i="5"/>
  <c r="Q93" i="5"/>
  <c r="T92" i="5"/>
  <c r="Q92" i="5"/>
  <c r="Q91" i="5"/>
  <c r="T91" i="5"/>
  <c r="T90" i="5"/>
  <c r="Q90" i="5"/>
  <c r="T89" i="5"/>
  <c r="Q89" i="5"/>
  <c r="G39" i="6" s="1"/>
  <c r="I39" i="6" s="1"/>
  <c r="Q88" i="5"/>
  <c r="T88" i="5"/>
  <c r="T87" i="5"/>
  <c r="Q87" i="5"/>
  <c r="T86" i="5"/>
  <c r="Q86" i="5"/>
  <c r="Q85" i="5"/>
  <c r="T85" i="5"/>
  <c r="Q84" i="5"/>
  <c r="T84" i="5"/>
  <c r="Q83" i="5"/>
  <c r="T83" i="5"/>
  <c r="Q82" i="5"/>
  <c r="T82" i="5"/>
  <c r="Q81" i="5"/>
  <c r="G38" i="6" s="1"/>
  <c r="I38" i="6" s="1"/>
  <c r="T81" i="5"/>
  <c r="E23" i="6"/>
  <c r="E8" i="6"/>
  <c r="Q80" i="5"/>
  <c r="T80" i="5"/>
  <c r="E6" i="6"/>
  <c r="C23" i="6"/>
  <c r="Q79" i="5"/>
  <c r="D22" i="6" s="1"/>
  <c r="T79" i="5"/>
  <c r="T78" i="5"/>
  <c r="Q78" i="5"/>
  <c r="D21" i="6" s="1"/>
  <c r="Q77" i="5"/>
  <c r="T77" i="5"/>
  <c r="T76" i="5"/>
  <c r="Q76" i="5"/>
  <c r="Q75" i="5"/>
  <c r="T75" i="5"/>
  <c r="Q73" i="5"/>
  <c r="T73" i="5"/>
  <c r="C16" i="6"/>
  <c r="D6" i="6"/>
  <c r="F37" i="6"/>
  <c r="C8" i="6"/>
  <c r="E16" i="6"/>
  <c r="F8" i="6"/>
  <c r="D8" i="6"/>
  <c r="H37" i="6"/>
  <c r="T72" i="5"/>
  <c r="Q72" i="5"/>
  <c r="T71" i="5"/>
  <c r="Q71" i="5"/>
  <c r="Q70" i="5"/>
  <c r="T70" i="5"/>
  <c r="Q69" i="5"/>
  <c r="T69" i="5"/>
  <c r="Q68" i="5"/>
  <c r="T68" i="5"/>
  <c r="Q67" i="5"/>
  <c r="T67" i="5"/>
  <c r="Q66" i="5"/>
  <c r="T66" i="5"/>
  <c r="Q65" i="5"/>
  <c r="G36" i="6" s="1"/>
  <c r="T65" i="5"/>
  <c r="T64" i="5"/>
  <c r="Q64" i="5"/>
  <c r="Q63" i="5"/>
  <c r="T63" i="5"/>
  <c r="T62" i="5"/>
  <c r="Q62" i="5"/>
  <c r="Q61" i="5"/>
  <c r="T61" i="5"/>
  <c r="Q60" i="5"/>
  <c r="T60" i="5"/>
  <c r="Q59" i="5"/>
  <c r="T59" i="5"/>
  <c r="Q58" i="5"/>
  <c r="T58" i="5"/>
  <c r="Q57" i="5"/>
  <c r="G35" i="6" s="1"/>
  <c r="T57" i="5"/>
  <c r="T56" i="5"/>
  <c r="Q56" i="5"/>
  <c r="T55" i="5"/>
  <c r="Q55" i="5"/>
  <c r="Q54" i="5"/>
  <c r="T54" i="5"/>
  <c r="Q53" i="5"/>
  <c r="T53" i="5"/>
  <c r="Q52" i="5"/>
  <c r="T52" i="5"/>
  <c r="T51" i="5"/>
  <c r="Q51" i="5"/>
  <c r="Q50" i="5"/>
  <c r="T50" i="5"/>
  <c r="T49" i="5"/>
  <c r="Q49" i="5"/>
  <c r="T48" i="5"/>
  <c r="Q48" i="5"/>
  <c r="Q39" i="5"/>
  <c r="T39" i="5"/>
  <c r="Q38" i="5"/>
  <c r="T38" i="5"/>
  <c r="Q37" i="5"/>
  <c r="T37" i="5"/>
  <c r="Q36" i="5"/>
  <c r="T36" i="5"/>
  <c r="Q35" i="5"/>
  <c r="T35" i="5"/>
  <c r="Q33" i="5"/>
  <c r="T33" i="5"/>
  <c r="Q32" i="5"/>
  <c r="T32" i="5"/>
  <c r="Q30" i="5"/>
  <c r="T30" i="5"/>
  <c r="Q29" i="5"/>
  <c r="T29" i="5"/>
  <c r="Q28" i="5"/>
  <c r="T28" i="5"/>
  <c r="Q27" i="5"/>
  <c r="T27" i="5"/>
  <c r="Q26" i="5"/>
  <c r="T26" i="5"/>
  <c r="Q25" i="5"/>
  <c r="T25" i="5"/>
  <c r="Q24" i="5"/>
  <c r="T24" i="5"/>
  <c r="Q23" i="5"/>
  <c r="T23" i="5"/>
  <c r="S261" i="5"/>
  <c r="N261" i="5"/>
  <c r="P261" i="5"/>
  <c r="R261" i="5"/>
  <c r="U261" i="5"/>
  <c r="Q260" i="5"/>
  <c r="T260" i="5"/>
  <c r="Q259" i="5"/>
  <c r="T259" i="5"/>
  <c r="Q258" i="5"/>
  <c r="T258" i="5"/>
  <c r="Q257" i="5"/>
  <c r="T257" i="5"/>
  <c r="Q256" i="5"/>
  <c r="T256" i="5"/>
  <c r="Q255" i="5"/>
  <c r="T255" i="5"/>
  <c r="Q254" i="5"/>
  <c r="T254" i="5"/>
  <c r="Q253" i="5"/>
  <c r="T253" i="5"/>
  <c r="Q252" i="5"/>
  <c r="T252" i="5"/>
  <c r="Q251" i="5"/>
  <c r="T251" i="5"/>
  <c r="Q250" i="5"/>
  <c r="T250" i="5"/>
  <c r="Q234" i="5"/>
  <c r="T234" i="5"/>
  <c r="Q233" i="5"/>
  <c r="T233" i="5"/>
  <c r="Q232" i="5"/>
  <c r="T232" i="5"/>
  <c r="Q231" i="5"/>
  <c r="T231" i="5"/>
  <c r="Q186" i="5"/>
  <c r="T186" i="5"/>
  <c r="Q187" i="5"/>
  <c r="T187" i="5"/>
  <c r="Q188" i="5"/>
  <c r="T188" i="5"/>
  <c r="Q189" i="5"/>
  <c r="T189" i="5"/>
  <c r="Q190" i="5"/>
  <c r="T190" i="5"/>
  <c r="Q191" i="5"/>
  <c r="T191" i="5"/>
  <c r="Q192" i="5"/>
  <c r="T192" i="5"/>
  <c r="Q181" i="5"/>
  <c r="T181" i="5"/>
  <c r="Q180" i="5"/>
  <c r="T180" i="5"/>
  <c r="Q179" i="5"/>
  <c r="T179" i="5"/>
  <c r="Q178" i="5"/>
  <c r="T178" i="5"/>
  <c r="Q177" i="5"/>
  <c r="T177" i="5"/>
  <c r="Q176" i="5"/>
  <c r="T176" i="5"/>
  <c r="Q175" i="5"/>
  <c r="T175" i="5"/>
  <c r="Q174" i="5"/>
  <c r="T174" i="5"/>
  <c r="Q173" i="5"/>
  <c r="T173" i="5"/>
  <c r="Q172" i="5"/>
  <c r="T172" i="5"/>
  <c r="Q171" i="5"/>
  <c r="T171" i="5"/>
  <c r="Q170" i="5"/>
  <c r="T170" i="5"/>
  <c r="Q169" i="5"/>
  <c r="G49" i="6" s="1"/>
  <c r="I49" i="6" s="1"/>
  <c r="T169" i="5"/>
  <c r="Q168" i="5"/>
  <c r="T168" i="5"/>
  <c r="Q167" i="5"/>
  <c r="T167" i="5"/>
  <c r="Q166" i="5"/>
  <c r="T166" i="5"/>
  <c r="Q165" i="5"/>
  <c r="T165" i="5"/>
  <c r="Q164" i="5"/>
  <c r="T164" i="5"/>
  <c r="Q163" i="5"/>
  <c r="T163" i="5"/>
  <c r="Q162" i="5"/>
  <c r="T162" i="5"/>
  <c r="Q193" i="5"/>
  <c r="T193" i="5"/>
  <c r="Q194" i="5"/>
  <c r="T194" i="5"/>
  <c r="Q195" i="5"/>
  <c r="T195" i="5"/>
  <c r="Q196" i="5"/>
  <c r="T196" i="5"/>
  <c r="Q197" i="5"/>
  <c r="T197" i="5"/>
  <c r="Q198" i="5"/>
  <c r="T198" i="5"/>
  <c r="Q199" i="5"/>
  <c r="T199" i="5"/>
  <c r="Q200" i="5"/>
  <c r="T200" i="5"/>
  <c r="Q201" i="5"/>
  <c r="T201" i="5"/>
  <c r="Q154" i="5"/>
  <c r="T154" i="5"/>
  <c r="Q153" i="5"/>
  <c r="T153" i="5"/>
  <c r="Q152" i="5"/>
  <c r="T152" i="5"/>
  <c r="Q151" i="5"/>
  <c r="T151" i="5"/>
  <c r="Q150" i="5"/>
  <c r="T150" i="5"/>
  <c r="Q149" i="5"/>
  <c r="T149" i="5"/>
  <c r="Q148" i="5"/>
  <c r="T148" i="5"/>
  <c r="Q146" i="5"/>
  <c r="T146" i="5"/>
  <c r="Q145" i="5"/>
  <c r="T145" i="5"/>
  <c r="Q144" i="5"/>
  <c r="T144" i="5"/>
  <c r="Q143" i="5"/>
  <c r="T143" i="5"/>
  <c r="Q142" i="5"/>
  <c r="T142" i="5"/>
  <c r="Q141" i="5"/>
  <c r="T141" i="5"/>
  <c r="Q140" i="5"/>
  <c r="T140" i="5"/>
  <c r="Q139" i="5"/>
  <c r="T139" i="5"/>
  <c r="Q138" i="5"/>
  <c r="T138" i="5"/>
  <c r="Q137" i="5"/>
  <c r="G45" i="6" s="1"/>
  <c r="I45" i="6" s="1"/>
  <c r="T137" i="5"/>
  <c r="Q136" i="5"/>
  <c r="T136" i="5"/>
  <c r="Q135" i="5"/>
  <c r="T135" i="5"/>
  <c r="Q134" i="5"/>
  <c r="T134" i="5"/>
  <c r="Q133" i="5"/>
  <c r="T133" i="5"/>
  <c r="Q132" i="5"/>
  <c r="T132" i="5"/>
  <c r="Q131" i="5"/>
  <c r="T131" i="5"/>
  <c r="Q130" i="5"/>
  <c r="T130" i="5"/>
  <c r="Q129" i="5"/>
  <c r="T129" i="5"/>
  <c r="Q128" i="5"/>
  <c r="T128" i="5"/>
  <c r="Q98" i="5"/>
  <c r="T98" i="5"/>
  <c r="Q96" i="5"/>
  <c r="T96" i="5"/>
  <c r="Q202" i="5"/>
  <c r="T202" i="5"/>
  <c r="Q203" i="5"/>
  <c r="T203" i="5"/>
  <c r="Q127" i="5"/>
  <c r="T127" i="5"/>
  <c r="Q126" i="5"/>
  <c r="T126" i="5"/>
  <c r="Q147" i="5"/>
  <c r="T147" i="5"/>
  <c r="Q125" i="5"/>
  <c r="T125" i="5"/>
  <c r="Q124" i="5"/>
  <c r="T124" i="5"/>
  <c r="Q123" i="5"/>
  <c r="T123" i="5"/>
  <c r="Q122" i="5"/>
  <c r="T122" i="5"/>
  <c r="Q121" i="5"/>
  <c r="G43" i="6" s="1"/>
  <c r="I43" i="6" s="1"/>
  <c r="T121" i="5"/>
  <c r="Q120" i="5"/>
  <c r="T120" i="5"/>
  <c r="Q119" i="5"/>
  <c r="T119" i="5"/>
  <c r="Q118" i="5"/>
  <c r="T118" i="5"/>
  <c r="Q117" i="5"/>
  <c r="T117" i="5"/>
  <c r="Q116" i="5"/>
  <c r="T116" i="5"/>
  <c r="Q115" i="5"/>
  <c r="T115" i="5"/>
  <c r="Q114" i="5"/>
  <c r="T114" i="5"/>
  <c r="Q113" i="5"/>
  <c r="G42" i="6" s="1"/>
  <c r="I42" i="6" s="1"/>
  <c r="T113" i="5"/>
  <c r="Q112" i="5"/>
  <c r="T112" i="5"/>
  <c r="Q111" i="5"/>
  <c r="T111" i="5"/>
  <c r="Q110" i="5"/>
  <c r="T110" i="5"/>
  <c r="Q109" i="5"/>
  <c r="T109" i="5"/>
  <c r="Q108" i="5"/>
  <c r="T108" i="5"/>
  <c r="Q107" i="5"/>
  <c r="T107" i="5"/>
  <c r="Q106" i="5"/>
  <c r="T106" i="5"/>
  <c r="Q105" i="5"/>
  <c r="G41" i="6" s="1"/>
  <c r="I41" i="6" s="1"/>
  <c r="T105" i="5"/>
  <c r="Q104" i="5"/>
  <c r="T104" i="5"/>
  <c r="Q103" i="5"/>
  <c r="T103" i="5"/>
  <c r="Q102" i="5"/>
  <c r="T102" i="5"/>
  <c r="Q100" i="5"/>
  <c r="T100" i="5"/>
  <c r="Q99" i="5"/>
  <c r="T99" i="5"/>
  <c r="Q97" i="5"/>
  <c r="T97" i="5"/>
  <c r="Q101" i="5"/>
  <c r="T101" i="5"/>
  <c r="Q74" i="5"/>
  <c r="T74" i="5"/>
  <c r="Q204" i="5"/>
  <c r="T204" i="5"/>
  <c r="Q205" i="5"/>
  <c r="T205" i="5"/>
  <c r="Q206" i="5"/>
  <c r="T206" i="5"/>
  <c r="Q207" i="5"/>
  <c r="T207" i="5"/>
  <c r="Q222" i="5"/>
  <c r="T222" i="5"/>
  <c r="Q223" i="5"/>
  <c r="T223" i="5"/>
  <c r="Q224" i="5"/>
  <c r="T224" i="5"/>
  <c r="Q225" i="5"/>
  <c r="T225" i="5"/>
  <c r="Q226" i="5"/>
  <c r="T226" i="5"/>
  <c r="Q47" i="5"/>
  <c r="T47" i="5"/>
  <c r="Q46" i="5"/>
  <c r="T46" i="5"/>
  <c r="Q45" i="5"/>
  <c r="T45" i="5"/>
  <c r="Q44" i="5"/>
  <c r="T44" i="5"/>
  <c r="Q43" i="5"/>
  <c r="T43" i="5"/>
  <c r="Q42" i="5"/>
  <c r="T42" i="5"/>
  <c r="Q41" i="5"/>
  <c r="T41" i="5"/>
  <c r="Q40" i="5"/>
  <c r="T40" i="5"/>
  <c r="Q227" i="5"/>
  <c r="T227" i="5"/>
  <c r="Q228" i="5"/>
  <c r="T228" i="5"/>
  <c r="Q229" i="5"/>
  <c r="T229" i="5"/>
  <c r="Q230" i="5"/>
  <c r="T230" i="5"/>
  <c r="Q21" i="5"/>
  <c r="T21" i="5"/>
  <c r="Q20" i="5"/>
  <c r="T20" i="5"/>
  <c r="Q19" i="5"/>
  <c r="T19" i="5"/>
  <c r="Q18" i="5"/>
  <c r="T18" i="5"/>
  <c r="Q17" i="5"/>
  <c r="T17" i="5"/>
  <c r="Q16" i="5"/>
  <c r="T16" i="5"/>
  <c r="Q15" i="5"/>
  <c r="T15" i="5"/>
  <c r="Q14" i="5"/>
  <c r="T14" i="5"/>
  <c r="Q13" i="5"/>
  <c r="T13" i="5"/>
  <c r="Q12" i="5"/>
  <c r="T12" i="5"/>
  <c r="Q11" i="5"/>
  <c r="T11" i="5"/>
  <c r="Q10" i="5"/>
  <c r="T10" i="5"/>
  <c r="Q9" i="5"/>
  <c r="T9" i="5"/>
  <c r="F26" i="4"/>
  <c r="J26" i="4" s="1"/>
  <c r="I26" i="4"/>
  <c r="F25" i="4"/>
  <c r="J25" i="4" s="1"/>
  <c r="I25" i="4"/>
  <c r="F24" i="4"/>
  <c r="J24" i="4" s="1"/>
  <c r="I24" i="4"/>
  <c r="F23" i="4"/>
  <c r="J23" i="4" s="1"/>
  <c r="I23" i="4"/>
  <c r="F22" i="4"/>
  <c r="J22" i="4" s="1"/>
  <c r="I22" i="4"/>
  <c r="F21" i="4"/>
  <c r="J21" i="4" s="1"/>
  <c r="I21" i="4"/>
  <c r="F20" i="4"/>
  <c r="J20" i="4" s="1"/>
  <c r="I20" i="4"/>
  <c r="F19" i="4"/>
  <c r="J19" i="4" s="1"/>
  <c r="J27" i="4" s="1"/>
  <c r="I19" i="4"/>
  <c r="I27" i="4" s="1"/>
  <c r="F59" i="6"/>
  <c r="H51" i="6"/>
  <c r="H39" i="6"/>
  <c r="E17" i="6"/>
  <c r="F53" i="6"/>
  <c r="H53" i="6"/>
  <c r="F44" i="6"/>
  <c r="F33" i="6"/>
  <c r="C17" i="6"/>
  <c r="H50" i="6" l="1"/>
  <c r="H47" i="6"/>
  <c r="F47" i="6"/>
  <c r="G6" i="6"/>
  <c r="G8" i="6"/>
  <c r="G50" i="6"/>
  <c r="I50" i="6" s="1"/>
  <c r="H36" i="6"/>
  <c r="I36" i="6" s="1"/>
  <c r="H34" i="6"/>
  <c r="F35" i="6"/>
  <c r="H32" i="6"/>
  <c r="F32" i="6"/>
  <c r="G33" i="6"/>
  <c r="I33" i="6" s="1"/>
  <c r="H35" i="6"/>
  <c r="I35" i="6" s="1"/>
  <c r="F36" i="6"/>
  <c r="F34" i="6"/>
  <c r="Q34" i="5"/>
  <c r="G32" i="6" s="1"/>
  <c r="I32" i="6" s="1"/>
  <c r="T34" i="5"/>
  <c r="Q236" i="5"/>
  <c r="T236" i="5"/>
  <c r="Q235" i="5"/>
  <c r="T235" i="5"/>
  <c r="Q31" i="5"/>
  <c r="G31" i="6" s="1"/>
  <c r="I31" i="6" s="1"/>
  <c r="T31" i="5"/>
  <c r="Q22" i="5"/>
  <c r="G30" i="6" s="1"/>
  <c r="I30" i="6" s="1"/>
  <c r="T22" i="5"/>
  <c r="E16" i="7"/>
  <c r="E17" i="7"/>
  <c r="E25" i="7"/>
  <c r="C16" i="12"/>
  <c r="E16" i="12" s="1"/>
  <c r="E7" i="6"/>
  <c r="D23" i="6"/>
  <c r="D16" i="6"/>
  <c r="D7" i="6"/>
  <c r="G37" i="6"/>
  <c r="I37" i="6" s="1"/>
  <c r="C8" i="12"/>
  <c r="E8" i="12" s="1"/>
  <c r="F26" i="7"/>
  <c r="Q261" i="5"/>
  <c r="T261" i="5"/>
  <c r="G7" i="6" s="1"/>
  <c r="C10" i="12" s="1"/>
  <c r="E10" i="12" s="1"/>
  <c r="F60" i="6"/>
  <c r="C20" i="6"/>
  <c r="E20" i="6"/>
  <c r="H60" i="6"/>
  <c r="I23" i="13"/>
  <c r="G59" i="6"/>
  <c r="I59" i="6" s="1"/>
  <c r="G55" i="6"/>
  <c r="I55" i="6" s="1"/>
  <c r="G48" i="6"/>
  <c r="I48" i="6" s="1"/>
  <c r="E6" i="13"/>
  <c r="G34" i="6"/>
  <c r="G52" i="6"/>
  <c r="I52" i="6" s="1"/>
  <c r="G53" i="6"/>
  <c r="I53" i="6" s="1"/>
  <c r="G47" i="6"/>
  <c r="G46" i="6"/>
  <c r="I46" i="6" s="1"/>
  <c r="G40" i="6"/>
  <c r="I40" i="6" s="1"/>
  <c r="D17" i="6"/>
  <c r="G44" i="6"/>
  <c r="I44" i="6" s="1"/>
  <c r="G56" i="6"/>
  <c r="I56" i="6" s="1"/>
  <c r="G29" i="6"/>
  <c r="I29" i="6" s="1"/>
  <c r="C6" i="6"/>
  <c r="F6" i="6"/>
  <c r="D18" i="6" l="1"/>
  <c r="G57" i="6"/>
  <c r="I57" i="6" s="1"/>
  <c r="I34" i="6"/>
  <c r="I47" i="6"/>
  <c r="D19" i="6"/>
  <c r="F7" i="6"/>
  <c r="C11" i="12" s="1"/>
  <c r="E11" i="12" s="1"/>
  <c r="C7" i="6"/>
  <c r="G60" i="6"/>
  <c r="I60" i="6" s="1"/>
  <c r="D20" i="6"/>
  <c r="F8" i="13"/>
  <c r="E8" i="13"/>
  <c r="C9" i="12"/>
  <c r="E9" i="12" s="1"/>
  <c r="E9" i="13" l="1"/>
  <c r="J8" i="6"/>
  <c r="C7" i="12"/>
  <c r="E7" i="12" s="1"/>
  <c r="C10" i="6"/>
  <c r="F25" i="7"/>
  <c r="J7" i="6"/>
  <c r="J6" i="6"/>
  <c r="C5" i="8"/>
  <c r="C6" i="12"/>
  <c r="E6" i="12" s="1"/>
  <c r="H14" i="8" l="1"/>
  <c r="H15" i="8"/>
  <c r="H16" i="8"/>
  <c r="H17" i="8"/>
  <c r="H18" i="8"/>
  <c r="H19" i="8"/>
  <c r="H20" i="8"/>
  <c r="H21" i="8"/>
  <c r="E23" i="11" l="1"/>
  <c r="G23" i="11" s="1"/>
  <c r="J14" i="8"/>
  <c r="C13" i="12"/>
  <c r="E13" i="12" s="1"/>
  <c r="H22" i="8"/>
  <c r="J22" i="8" s="1"/>
  <c r="C9" i="9"/>
  <c r="D25" i="10"/>
  <c r="E24" i="11"/>
  <c r="G24" i="11" s="1"/>
  <c r="J15" i="8"/>
  <c r="E25" i="10"/>
  <c r="C10" i="9"/>
  <c r="E25" i="11"/>
  <c r="G25" i="11" s="1"/>
  <c r="J16" i="8"/>
  <c r="C11" i="9"/>
  <c r="F25" i="10"/>
  <c r="E26" i="11"/>
  <c r="G26" i="11" s="1"/>
  <c r="J17" i="8"/>
  <c r="C12" i="9"/>
  <c r="G25" i="10"/>
  <c r="E27" i="11"/>
  <c r="G27" i="11" s="1"/>
  <c r="J18" i="8"/>
  <c r="C13" i="9"/>
  <c r="H25" i="10"/>
  <c r="E28" i="11"/>
  <c r="G28" i="11" s="1"/>
  <c r="J19" i="8"/>
  <c r="C14" i="9"/>
  <c r="I25" i="10"/>
  <c r="E29" i="11"/>
  <c r="G29" i="11" s="1"/>
  <c r="J20" i="8"/>
  <c r="C15" i="9"/>
  <c r="J25" i="10"/>
  <c r="E30" i="11"/>
  <c r="G30" i="11" s="1"/>
  <c r="J21" i="8"/>
  <c r="C16" i="9"/>
  <c r="K25" i="10"/>
  <c r="C14" i="12"/>
  <c r="E14" i="12" s="1"/>
  <c r="H23" i="11" l="1"/>
  <c r="I23" i="11"/>
  <c r="G31" i="11"/>
  <c r="I31" i="11" s="1"/>
  <c r="C15" i="12" s="1"/>
  <c r="E15" i="12" s="1"/>
  <c r="G33" i="11"/>
  <c r="G34" i="11"/>
  <c r="F9" i="9"/>
  <c r="E9" i="9"/>
  <c r="C17" i="9"/>
  <c r="D9" i="9"/>
  <c r="D26" i="10"/>
  <c r="D29" i="10"/>
  <c r="D30" i="10"/>
  <c r="D32" i="10"/>
  <c r="D35" i="10"/>
  <c r="D37" i="10"/>
  <c r="D28" i="10"/>
  <c r="D27" i="10"/>
  <c r="D31" i="10"/>
  <c r="D33" i="10"/>
  <c r="D34" i="10"/>
  <c r="D36" i="10"/>
  <c r="D38" i="10"/>
  <c r="H24" i="11"/>
  <c r="I24" i="11"/>
  <c r="E26" i="10"/>
  <c r="E39" i="10" s="1"/>
  <c r="E40" i="10" s="1"/>
  <c r="E27" i="10"/>
  <c r="E29" i="10"/>
  <c r="E34" i="10"/>
  <c r="E35" i="10"/>
  <c r="E28" i="10"/>
  <c r="E30" i="10"/>
  <c r="E31" i="10"/>
  <c r="E32" i="10"/>
  <c r="E33" i="10"/>
  <c r="E36" i="10"/>
  <c r="E37" i="10"/>
  <c r="E38" i="10"/>
  <c r="F10" i="9"/>
  <c r="I10" i="9" s="1"/>
  <c r="E10" i="9"/>
  <c r="H10" i="9" s="1"/>
  <c r="D10" i="9"/>
  <c r="G10" i="9" s="1"/>
  <c r="I25" i="11"/>
  <c r="H25" i="11"/>
  <c r="E11" i="9"/>
  <c r="H11" i="9" s="1"/>
  <c r="F11" i="9"/>
  <c r="I11" i="9" s="1"/>
  <c r="D11" i="9"/>
  <c r="G11" i="9" s="1"/>
  <c r="F29" i="10"/>
  <c r="F31" i="10"/>
  <c r="F32" i="10"/>
  <c r="F35" i="10"/>
  <c r="F36" i="10"/>
  <c r="F37" i="10"/>
  <c r="F26" i="10"/>
  <c r="F27" i="10"/>
  <c r="F28" i="10"/>
  <c r="F30" i="10"/>
  <c r="F33" i="10"/>
  <c r="F34" i="10"/>
  <c r="F38" i="10"/>
  <c r="H26" i="11"/>
  <c r="I26" i="11"/>
  <c r="E12" i="9"/>
  <c r="H12" i="9" s="1"/>
  <c r="D12" i="9"/>
  <c r="G12" i="9" s="1"/>
  <c r="F12" i="9"/>
  <c r="I12" i="9" s="1"/>
  <c r="G26" i="10"/>
  <c r="G28" i="10"/>
  <c r="G30" i="10"/>
  <c r="G33" i="10"/>
  <c r="G36" i="10"/>
  <c r="G37" i="10"/>
  <c r="G38" i="10"/>
  <c r="G29" i="10"/>
  <c r="G27" i="10"/>
  <c r="G31" i="10"/>
  <c r="G32" i="10"/>
  <c r="G34" i="10"/>
  <c r="G35" i="10"/>
  <c r="I27" i="11"/>
  <c r="H27" i="11"/>
  <c r="E13" i="9"/>
  <c r="H13" i="9" s="1"/>
  <c r="F13" i="9"/>
  <c r="I13" i="9" s="1"/>
  <c r="D13" i="9"/>
  <c r="G13" i="9" s="1"/>
  <c r="H31" i="10"/>
  <c r="H32" i="10"/>
  <c r="H35" i="10"/>
  <c r="H36" i="10"/>
  <c r="H37" i="10"/>
  <c r="H26" i="10"/>
  <c r="H27" i="10"/>
  <c r="H28" i="10"/>
  <c r="H29" i="10"/>
  <c r="H30" i="10"/>
  <c r="H33" i="10"/>
  <c r="H34" i="10"/>
  <c r="H38" i="10"/>
  <c r="H28" i="11"/>
  <c r="I28" i="11"/>
  <c r="E14" i="9"/>
  <c r="H14" i="9" s="1"/>
  <c r="D14" i="9"/>
  <c r="G14" i="9" s="1"/>
  <c r="F14" i="9"/>
  <c r="I14" i="9" s="1"/>
  <c r="I34" i="10"/>
  <c r="I26" i="10"/>
  <c r="I27" i="10"/>
  <c r="I29" i="10"/>
  <c r="I30" i="10"/>
  <c r="I31" i="10"/>
  <c r="I32" i="10"/>
  <c r="I33" i="10"/>
  <c r="I35" i="10"/>
  <c r="I36" i="10"/>
  <c r="I37" i="10"/>
  <c r="I38" i="10"/>
  <c r="I28" i="10"/>
  <c r="I29" i="11"/>
  <c r="H29" i="11"/>
  <c r="F15" i="9"/>
  <c r="I15" i="9" s="1"/>
  <c r="D15" i="9"/>
  <c r="G15" i="9" s="1"/>
  <c r="E15" i="9"/>
  <c r="H15" i="9" s="1"/>
  <c r="J26" i="10"/>
  <c r="J29" i="10"/>
  <c r="J31" i="10"/>
  <c r="J33" i="10"/>
  <c r="J34" i="10"/>
  <c r="J38" i="10"/>
  <c r="J27" i="10"/>
  <c r="J28" i="10"/>
  <c r="J30" i="10"/>
  <c r="J32" i="10"/>
  <c r="J35" i="10"/>
  <c r="J36" i="10"/>
  <c r="J37" i="10"/>
  <c r="I30" i="11"/>
  <c r="H30" i="11"/>
  <c r="F16" i="9"/>
  <c r="I16" i="9" s="1"/>
  <c r="E16" i="9"/>
  <c r="H16" i="9" s="1"/>
  <c r="D16" i="9"/>
  <c r="G16" i="9" s="1"/>
  <c r="K26" i="10"/>
  <c r="K30" i="10"/>
  <c r="K32" i="10"/>
  <c r="K33" i="10"/>
  <c r="K35" i="10"/>
  <c r="K36" i="10"/>
  <c r="K37" i="10"/>
  <c r="K38" i="10"/>
  <c r="K27" i="10"/>
  <c r="K28" i="10"/>
  <c r="K29" i="10"/>
  <c r="K31" i="10"/>
  <c r="K34" i="10"/>
  <c r="I33" i="11" l="1"/>
  <c r="H33" i="11"/>
  <c r="H34" i="11"/>
  <c r="I34" i="11"/>
  <c r="I9" i="9"/>
  <c r="I17" i="9" s="1"/>
  <c r="D24" i="9" s="1"/>
  <c r="F17" i="9"/>
  <c r="C24" i="9" s="1"/>
  <c r="H9" i="9"/>
  <c r="H17" i="9" s="1"/>
  <c r="D23" i="9" s="1"/>
  <c r="E17" i="9"/>
  <c r="C23" i="9" s="1"/>
  <c r="G9" i="9"/>
  <c r="G17" i="9" s="1"/>
  <c r="D22" i="9" s="1"/>
  <c r="D17" i="9"/>
  <c r="C22" i="9" s="1"/>
  <c r="F39" i="10"/>
  <c r="F40" i="10" s="1"/>
  <c r="G39" i="10"/>
  <c r="G40" i="10" s="1"/>
  <c r="H39" i="10"/>
  <c r="H40" i="10" s="1"/>
  <c r="I39" i="10"/>
  <c r="I40" i="10" s="1"/>
  <c r="J39" i="10"/>
  <c r="J40" i="10" s="1"/>
  <c r="K39" i="10"/>
  <c r="K40" i="10" s="1"/>
  <c r="H31" i="11"/>
  <c r="D39" i="10"/>
  <c r="D40" i="10" s="1"/>
  <c r="F12" i="13" l="1"/>
  <c r="E12" i="13"/>
  <c r="C18" i="12"/>
  <c r="E18" i="12" s="1"/>
</calcChain>
</file>

<file path=xl/sharedStrings.xml><?xml version="1.0" encoding="utf-8"?>
<sst xmlns="http://schemas.openxmlformats.org/spreadsheetml/2006/main" count="505" uniqueCount="427">
  <si>
    <t>TheLook monthly sales forecast, from start to end, in Excel</t>
  </si>
  <si>
    <t>This workbook rebuilds the whole forecast from src/forecasting.py with live Excel formulas, so you can follow every number from the raw monthly sales to the final answer.</t>
  </si>
  <si>
    <t>The question it answers: what will net sales be from May to December 2024, which method should we trust, and will the business land its plan?</t>
  </si>
  <si>
    <t>Work through the tabs from left to right. Each tab is one step, and each step only uses results from the steps before it.</t>
  </si>
  <si>
    <t>The flow</t>
  </si>
  <si>
    <t>Step</t>
  </si>
  <si>
    <t>Tab</t>
  </si>
  <si>
    <t>Question it answers</t>
  </si>
  <si>
    <t>Key Excel technique</t>
  </si>
  <si>
    <t>1</t>
  </si>
  <si>
    <t>Data</t>
  </si>
  <si>
    <t>What happened? 64 complete months of net sales.</t>
  </si>
  <si>
    <t>Named ranges (Sales, Months), LN, YoY growth</t>
  </si>
  <si>
    <t>2</t>
  </si>
  <si>
    <t>Settings</t>
  </si>
  <si>
    <t>Which numbers does the method depend on?</t>
  </si>
  <si>
    <t>One labelled cell per assumption, referenced by name</t>
  </si>
  <si>
    <t>3</t>
  </si>
  <si>
    <t>OneTest</t>
  </si>
  <si>
    <t>How does one practice test work, month by month?</t>
  </si>
  <si>
    <t>INDEX on a moving position, FORECAST.ETS, a chart that updates</t>
  </si>
  <si>
    <t>4</t>
  </si>
  <si>
    <t>Backtest</t>
  </si>
  <si>
    <t>Repeat the test 24 times, 8 months each: 192 checks.</t>
  </si>
  <si>
    <t>One row of formulas dragged down 256 rows; ABS errors</t>
  </si>
  <si>
    <t>5</t>
  </si>
  <si>
    <t>Scores</t>
  </si>
  <si>
    <t>Which model is most accurate over the full horizon?</t>
  </si>
  <si>
    <t>AVERAGEIFS, MAXIFS, RANK, INDEX/MATCH for the champion</t>
  </si>
  <si>
    <t>6</t>
  </si>
  <si>
    <t>OldDesign</t>
  </si>
  <si>
    <t>Why the first version (6 checks, 1 month ahead) was not enough.</t>
  </si>
  <si>
    <t>Same formulas, smaller test, side-by-side comparison</t>
  </si>
  <si>
    <t>7</t>
  </si>
  <si>
    <t>Forecast</t>
  </si>
  <si>
    <t>What does the champion forecast for May to December 2024?</t>
  </si>
  <si>
    <t>EDATE, the drift clip MIN(MAX()), choosing a column by MATCH</t>
  </si>
  <si>
    <t>8</t>
  </si>
  <si>
    <t>Scenarios</t>
  </si>
  <si>
    <t>What range should we plan for?</t>
  </si>
  <si>
    <t>Multipliers and margin assumptions from Settings</t>
  </si>
  <si>
    <t>9</t>
  </si>
  <si>
    <t>CountrySplit</t>
  </si>
  <si>
    <t>How much of the forecast belongs to each country?</t>
  </si>
  <si>
    <t>Trailing 6-month shares; a reconciliation row that must be 0</t>
  </si>
  <si>
    <t>10</t>
  </si>
  <si>
    <t>VsPlan</t>
  </si>
  <si>
    <t>Will we hit the plan?</t>
  </si>
  <si>
    <t>Actual if known, otherwise forecast; achievement %</t>
  </si>
  <si>
    <t>11</t>
  </si>
  <si>
    <t>Checks</t>
  </si>
  <si>
    <t>Do the Excel results match the Python pipeline?</t>
  </si>
  <si>
    <t>PASS/CHECK tests against the saved Python numbers</t>
  </si>
  <si>
    <t>12</t>
  </si>
  <si>
    <t>ReviewChecks</t>
  </si>
  <si>
    <t>The seven audit checks from docs/forecast_review.md, with live evidence.</t>
  </si>
  <si>
    <t>sMAPE, RMSE% and median error with SUMPRODUCT and MEDIAN</t>
  </si>
  <si>
    <t>ref</t>
  </si>
  <si>
    <t>HW_Python</t>
  </si>
  <si>
    <t>Holt-Winters predictions computed in Python (statsmodels).</t>
  </si>
  <si>
    <t>Reference values used by tabs 3 to 7</t>
  </si>
  <si>
    <t>Colour legend</t>
  </si>
  <si>
    <t>Blue text</t>
  </si>
  <si>
    <t>A typed-in value (an input). Change it and everything downstream recalculates.</t>
  </si>
  <si>
    <t>Black text</t>
  </si>
  <si>
    <t>A formula calculated in this workbook.</t>
  </si>
  <si>
    <t>Green text</t>
  </si>
  <si>
    <t>A formula that simply pulls a result from another tab.</t>
  </si>
  <si>
    <t>Grey fill</t>
  </si>
  <si>
    <t>A value calculated in Python and pasted in (Holt-Winters only).</t>
  </si>
  <si>
    <t>Yellow fill</t>
  </si>
  <si>
    <t>Try changing this cell to see the effect.</t>
  </si>
  <si>
    <t>Green fill</t>
  </si>
  <si>
    <t>A key result.</t>
  </si>
  <si>
    <t>Experiments to try</t>
  </si>
  <si>
    <t>1.</t>
  </si>
  <si>
    <t>OneTest!C5: change the test number from 24 to 1. The table and chart show a different 8-month practice test.</t>
  </si>
  <si>
    <t>2.</t>
  </si>
  <si>
    <t>Settings!C7: change 'Tests requested' to 6, 12 or 32. Scores shows that drift wins every time.</t>
  </si>
  <si>
    <t>3.</t>
  </si>
  <si>
    <t>Settings!C10: change the upper drift clip from 2.5 to 3. The real forecast rises about 14% and VsPlan changes.</t>
  </si>
  <si>
    <t>4.</t>
  </si>
  <si>
    <t>Settings rows 18 to 20: change the scenario multipliers or margin changes and watch Scenarios.</t>
  </si>
  <si>
    <t>Limits to keep in mind</t>
  </si>
  <si>
    <t>•</t>
  </si>
  <si>
    <t>TheLook is a synthetic dataset: growth is far smoother than real retail, so the 8% error shows the method, not an accuracy promise.</t>
  </si>
  <si>
    <t>The plan is constructed (TheLook ships no budget), so 'achievement vs plan' is a demonstration.</t>
  </si>
  <si>
    <t>Excel cannot refit Holt-Winters exactly like Python's statsmodels, so its predictions are pasted in (HW_Python). OneTest shows Excel's closest built-in, FORECAST.ETS.</t>
  </si>
  <si>
    <t>Changing Horizon or Season in Settings would need the Backtest rows rebuilt; keep them at 8 and 12.</t>
  </si>
  <si>
    <t>Step 1 · Data: monthly net sales</t>
  </si>
  <si>
    <t>The only input the forecast needs: net sales for every complete month, January 2019 to April 2024.</t>
  </si>
  <si>
    <t>Source: mart.sales_monthly in artifacts/thelook_analytics.duckdb, filtered to is_complete_month = 1.</t>
  </si>
  <si>
    <t>Position in the series (1 = first month).</t>
  </si>
  <si>
    <t>Calendar month.</t>
  </si>
  <si>
    <t>Net sales after cancellations and returns.</t>
  </si>
  <si>
    <t>Net profit ÷ net sales. Used only for scenarios.</t>
  </si>
  <si>
    <t>Natural log of net sales. Doubling adds about 0.69.</t>
  </si>
  <si>
    <t>This month ÷ same month last year. Around 2× means sales doubled.</t>
  </si>
  <si>
    <t>Row #</t>
  </si>
  <si>
    <t>Month</t>
  </si>
  <si>
    <t>Net sales ($)</t>
  </si>
  <si>
    <t>Net margin rate</t>
  </si>
  <si>
    <t>log(net sales)</t>
  </si>
  <si>
    <t>YoY growth (×)</t>
  </si>
  <si>
    <t>Excluded: 2024-05 is incomplete (6,556 orders so far vs 8,703 in April 2024). Including it would look like a sales collapse and corrupt both the backtest and the forecast start.</t>
  </si>
  <si>
    <t>Values are typed in (blue) from the warehouse; everything after this tab is a formula.</t>
  </si>
  <si>
    <t>Step 2 · Settings: every number the method depends on</t>
  </si>
  <si>
    <t>Each assumption lives in one labelled cell and is used by name everywhere else (for example =ClipHigh).</t>
  </si>
  <si>
    <t>Change a yellow cell and the whole workbook recalculates.</t>
  </si>
  <si>
    <t>Setting</t>
  </si>
  <si>
    <t>Value</t>
  </si>
  <si>
    <t>What it means</t>
  </si>
  <si>
    <t>Python name (src/forecasting.py)</t>
  </si>
  <si>
    <t>Season length (months)</t>
  </si>
  <si>
    <t>The sales pattern repeats every 12 months.</t>
  </si>
  <si>
    <t>SEASONAL_PERIODS (line 80)</t>
  </si>
  <si>
    <t>Forecast horizon (months)</t>
  </si>
  <si>
    <t>How far ahead each forecast runs: May to Dec 2024 = 8. Structural: keep at 8.</t>
  </si>
  <si>
    <t>horizon in run()</t>
  </si>
  <si>
    <t>Tests requested</t>
  </si>
  <si>
    <t>How many practice tests (starting points) to run. Try 6, 12 or 32.</t>
  </si>
  <si>
    <t>BACKTEST_ORIGINS (line 87)</t>
  </si>
  <si>
    <t>Minimum training months</t>
  </si>
  <si>
    <t>Holt-Winters needs two full seasons plus one month of history.</t>
  </si>
  <si>
    <t>MIN_TRAIN_MONTHS (line 88)</t>
  </si>
  <si>
    <t>Drift clip, lower</t>
  </si>
  <si>
    <t>Growth ratio is never allowed below this.</t>
  </si>
  <si>
    <t>np.clip(drift, 0.5, 2.5)</t>
  </si>
  <si>
    <t>Drift clip, upper</t>
  </si>
  <si>
    <t>Growth ratio is never allowed above this. Try 3.0.</t>
  </si>
  <si>
    <t>Months of data</t>
  </si>
  <si>
    <t>Complete months in the Data tab.</t>
  </si>
  <si>
    <t>len(series)</t>
  </si>
  <si>
    <t>Last actual month</t>
  </si>
  <si>
    <t>The forecast starts the month after this.</t>
  </si>
  <si>
    <t>last_actual_month</t>
  </si>
  <si>
    <t>Most tests the data allows</t>
  </si>
  <si>
    <t>Each test needs MinTrain months before it and Horizon months after it.</t>
  </si>
  <si>
    <t>len(series) - MIN_TRAIN_MONTHS</t>
  </si>
  <si>
    <t>Tests actually used</t>
  </si>
  <si>
    <t>The latest tests are kept; earlier ones are skipped.</t>
  </si>
  <si>
    <t>offsets in backtest()</t>
  </si>
  <si>
    <t>Scenario assumptions (used in the Scenarios tab)</t>
  </si>
  <si>
    <t>Scenario</t>
  </si>
  <si>
    <t>Volume multiplier</t>
  </si>
  <si>
    <t>Margin change (pp)</t>
  </si>
  <si>
    <t>Assumption</t>
  </si>
  <si>
    <t>Base</t>
  </si>
  <si>
    <t>Current trend continues; no change to pricing or promotion intensity.</t>
  </si>
  <si>
    <t>Upside</t>
  </si>
  <si>
    <t>Peak-season sell-through runs 10% ahead with a modest mix benefit.</t>
  </si>
  <si>
    <t>Downside</t>
  </si>
  <si>
    <t>Demand softens 10% and clearing aged stock costs 2 points of margin.</t>
  </si>
  <si>
    <t>Source: SCENARIOS in src/forecasting.py (lines 90–106). The downside margin hit links to 273K units of stock aged 181+ days.</t>
  </si>
  <si>
    <t>Step 3 · One practice test, by hand</t>
  </si>
  <si>
    <t>Pretend 'today' is the end of a past month, hide everything after it, forecast the next 8 months, then compare with what really happened.</t>
  </si>
  <si>
    <t>Pick a test number in the yellow cell. Every number below, and the chart, follows.</t>
  </si>
  <si>
    <t>Pick a test number (1 = earliest kept)</t>
  </si>
  <si>
    <t>Offset (months hidden at the end)</t>
  </si>
  <si>
    <t>Python: offset in backtest(). Test 24 hides the last 8 months.</t>
  </si>
  <si>
    <t>History months the model sees</t>
  </si>
  <si>
    <t>series.iloc[:-offset] keeps this many months, always starting Jan 2019.</t>
  </si>
  <si>
    <t>Last month the model sees ('today')</t>
  </si>
  <si>
    <t>First forecast month</t>
  </si>
  <si>
    <t>The drift growth ratio for this test</t>
  </si>
  <si>
    <t>Latest month the model sees</t>
  </si>
  <si>
    <t>Same month one year earlier</t>
  </si>
  <si>
    <t>Raw drift = latest ÷ year earlier</t>
  </si>
  <si>
    <t>Drift after clip = MIN(MAX(raw, low), high)</t>
  </si>
  <si>
    <t>Every drift forecast below = same month last year × this number.</t>
  </si>
  <si>
    <t>1 = next month, 8 = furthest.</t>
  </si>
  <si>
    <t>The hidden month being forecast.</t>
  </si>
  <si>
    <t>What really happened (hidden from the model).</t>
  </si>
  <si>
    <t>Copy the same month last year: INDEX(Sales, row − 12).</t>
  </si>
  <si>
    <t>Seasonal naive × drift after clip.</t>
  </si>
  <si>
    <t>Looked up from HW_Python by offset and step.</t>
  </si>
  <si>
    <t>Excel's own exponential smoothing on log(sales), then EXP back to dollars.</t>
  </si>
  <si>
    <t>|forecast − actual| ÷ actual</t>
  </si>
  <si>
    <t>Target month</t>
  </si>
  <si>
    <t>Actual</t>
  </si>
  <si>
    <t>Seasonal naive</t>
  </si>
  <si>
    <t>Drift</t>
  </si>
  <si>
    <t>Holt-Winters (Python)</t>
  </si>
  <si>
    <t>Excel FORECAST.ETS (log)</t>
  </si>
  <si>
    <t>Error naive</t>
  </si>
  <si>
    <t>Error drift</t>
  </si>
  <si>
    <t>Error HW</t>
  </si>
  <si>
    <t>Error ETS</t>
  </si>
  <si>
    <t>Average error for this test</t>
  </si>
  <si>
    <t>FORECAST.ETS fits the same kind of model as holt_winters_log (trend + seasonality on the log) but picks its own smoothing settings, so its numbers differ from Python's.</t>
  </si>
  <si>
    <t>Step 4 · Backtest: every practice test, every step</t>
  </si>
  <si>
    <t>One row = one forecast checked against reality (a fold). Row 9 holds the formulas; rows 10 to 264 are the same formulas dragged down.</t>
  </si>
  <si>
    <t>All 32 tests the data allows are listed. 'Included' marks the latest ones kept by Settings (24 by default = 192 folds). Grey rows are skipped.</t>
  </si>
  <si>
    <t>Which of the 32 possible tests.</t>
  </si>
  <si>
    <t>Months hidden at the end of the series.</t>
  </si>
  <si>
    <t>1 if this test is one of the latest TestsUsed.</t>
  </si>
  <si>
    <t>Test number as used in the scores.</t>
  </si>
  <si>
    <t>Months the model learns from (= last training row).</t>
  </si>
  <si>
    <t>First forecast month of this test.</t>
  </si>
  <si>
    <t>Row in Data being forecast.</t>
  </si>
  <si>
    <t>The month being forecast.</t>
  </si>
  <si>
    <t>What really happened.</t>
  </si>
  <si>
    <t>Same month last year.</t>
  </si>
  <si>
    <t>Latest ÷ year-earlier, before the clip.</t>
  </si>
  <si>
    <t>Raw drift clipped to [low, high].</t>
  </si>
  <si>
    <t>Seasonal naive × clipped drift.</t>
  </si>
  <si>
    <t>From HW_Python (offset, step).</t>
  </si>
  <si>
    <t>|naive − actual| ÷ actual</t>
  </si>
  <si>
    <t>|drift − actual| ÷ actual</t>
  </si>
  <si>
    <t>|HW − actual| ÷ actual</t>
  </si>
  <si>
    <t>naive ÷ actual − 1 (keeps the sign)</t>
  </si>
  <si>
    <t>drift ÷ actual − 1</t>
  </si>
  <si>
    <t>HW ÷ actual − 1</t>
  </si>
  <si>
    <t>Possible test</t>
  </si>
  <si>
    <t>Offset</t>
  </si>
  <si>
    <t>Included</t>
  </si>
  <si>
    <t>Test #</t>
  </si>
  <si>
    <t>History months</t>
  </si>
  <si>
    <t>Test starts</t>
  </si>
  <si>
    <t>Target row</t>
  </si>
  <si>
    <t>Raw drift</t>
  </si>
  <si>
    <t>Clipped drift</t>
  </si>
  <si>
    <t>Drift forecast</t>
  </si>
  <si>
    <t>Holt-Winters</t>
  </si>
  <si>
    <t>Bias naive</t>
  </si>
  <si>
    <t>Bias drift</t>
  </si>
  <si>
    <t>Bias HW</t>
  </si>
  <si>
    <t>Step 5 · Scores: turn the folds into one score per model</t>
  </si>
  <si>
    <t>Only included tests count. MAPE = average error size (lower is better). Bias = average error with its sign (negative = forecasts too low).</t>
  </si>
  <si>
    <t>The champion is the model with the lowest MAPE across all 8 steps, because that is how far ahead the real forecast runs.</t>
  </si>
  <si>
    <t>Model</t>
  </si>
  <si>
    <t>MAPE (all 8 steps)</t>
  </si>
  <si>
    <t>MAPE 1 month ahead</t>
  </si>
  <si>
    <t>MAPE 8 months ahead</t>
  </si>
  <si>
    <t>Worst single error</t>
  </si>
  <si>
    <t>Bias</t>
  </si>
  <si>
    <t>Tests</t>
  </si>
  <si>
    <t>Folds</t>
  </si>
  <si>
    <t>Rank</t>
  </si>
  <si>
    <t>seasonal_naive</t>
  </si>
  <si>
    <t>seasonal_naive_drift</t>
  </si>
  <si>
    <t>holt_winters_log</t>
  </si>
  <si>
    <t>Champion (lowest MAPE)</t>
  </si>
  <si>
    <t>Times the drift clip changed a backtest ratio</t>
  </si>
  <si>
    <t>0 means the clip never binds in the backtest (it does bind in the real forecast, see the Forecast tab).</t>
  </si>
  <si>
    <t>Highest raw drift in the backtest</t>
  </si>
  <si>
    <t>Error by months ahead: why the horizon matters</t>
  </si>
  <si>
    <t>Months ahead</t>
  </si>
  <si>
    <t>The old version only looked at row 1 of this table. The real forecast is used at row 8, where the models are far apart.</t>
  </si>
  <si>
    <t>Error by test: is the winner the winner everywhere?</t>
  </si>
  <si>
    <t>Used as test #</t>
  </si>
  <si>
    <t>Better of drift / HW</t>
  </si>
  <si>
    <t>Grey rows are tests skipped by Settings. Drift wins on average, but Holt-Winters wins several recent tests, when growth was speeding up.</t>
  </si>
  <si>
    <t>Step 6 · The old design: 6 tests, 1 month ahead each</t>
  </si>
  <si>
    <t>The first version of src/forecasting.py checked each model only one month ahead, on the last 6 months (docs/forecast_review.md, check 1).</t>
  </si>
  <si>
    <t>Same formulas as the Backtest tab, but only step 1 and only 6 tests. The real forecast runs 8 months ahead, so this tested the wrong thing.</t>
  </si>
  <si>
    <t>Fixed at 6: Python predictions exist only for these 6 tests.</t>
  </si>
  <si>
    <t>Test</t>
  </si>
  <si>
    <t>Forecast month</t>
  </si>
  <si>
    <t>Winner (drift vs HW)</t>
  </si>
  <si>
    <t>Average (MAPE)</t>
  </si>
  <si>
    <t>Drift wins</t>
  </si>
  <si>
    <t>A 3–3 split: six results cannot tell the models apart.</t>
  </si>
  <si>
    <t>Holt-Winters wins</t>
  </si>
  <si>
    <t>Old vs new, side by side</t>
  </si>
  <si>
    <t>Old design</t>
  </si>
  <si>
    <t>New design</t>
  </si>
  <si>
    <t>Months checked per test</t>
  </si>
  <si>
    <t>Total checks (folds)</t>
  </si>
  <si>
    <t>Drift MAPE</t>
  </si>
  <si>
    <t>Holt-Winters MAPE</t>
  </si>
  <si>
    <t>Step 7 · The real forecast: May to December 2024</t>
  </si>
  <si>
    <t>Now the champion is run once on all 64 months. No checking is possible: these months are the future.</t>
  </si>
  <si>
    <t>The drift ratio uses April 2024 ÷ April 2023. Watch whether the clip changes it.</t>
  </si>
  <si>
    <t>Champion model (from Scores)</t>
  </si>
  <si>
    <t>Latest month sales</t>
  </si>
  <si>
    <t>Drift after clip</t>
  </si>
  <si>
    <t>Is the clip active?</t>
  </si>
  <si>
    <t>Forecast month.</t>
  </si>
  <si>
    <t>1 = May 2024.</t>
  </si>
  <si>
    <t>INDEX(Sales, N + step − 12).</t>
  </si>
  <si>
    <t>Same month last year × clipped drift.</t>
  </si>
  <si>
    <t>From HW_Python.</t>
  </si>
  <si>
    <t>The column whose header matches the champion.</t>
  </si>
  <si>
    <t>Same month last year × raw drift.</t>
  </si>
  <si>
    <t>How much higher without the clip.</t>
  </si>
  <si>
    <t>Steps ahead</t>
  </si>
  <si>
    <t>Same month last year</t>
  </si>
  <si>
    <t>Chosen forecast</t>
  </si>
  <si>
    <t>Drift without the clip</t>
  </si>
  <si>
    <t>Clip effect</t>
  </si>
  <si>
    <t>Total, 8 months</t>
  </si>
  <si>
    <t>Python: point_forecast = MODELS[champion](series, horizon) in run(), lines 249–251.</t>
  </si>
  <si>
    <t>Step 8 · Scenarios: a range instead of one number</t>
  </si>
  <si>
    <t>Each scenario scales the chosen forecast by a volume multiplier and adjusts the latest net margin. Profit = sales × margin.</t>
  </si>
  <si>
    <t>The multipliers and margin changes live in Settings (rows 18 to 20).</t>
  </si>
  <si>
    <t>Latest net margin (Apr 2024)</t>
  </si>
  <si>
    <t>Assumed net margin</t>
  </si>
  <si>
    <t>Base sales</t>
  </si>
  <si>
    <t>Upside sales</t>
  </si>
  <si>
    <t>Downside sales</t>
  </si>
  <si>
    <t>Base profit</t>
  </si>
  <si>
    <t>Upside profit</t>
  </si>
  <si>
    <t>Downside profit</t>
  </si>
  <si>
    <t>Summary</t>
  </si>
  <si>
    <t>Net sales</t>
  </si>
  <si>
    <t>Net profit</t>
  </si>
  <si>
    <t>Assumed margin</t>
  </si>
  <si>
    <t>Step 9 · Split the forecast by country (top-down)</t>
  </si>
  <si>
    <t>Forecast the whole business once, then give each country its share of the last 6 complete months of sales.</t>
  </si>
  <si>
    <t>Source for the blue values: mart.actual_country_month. Small markets have too little history for their own seasonal model.</t>
  </si>
  <si>
    <t>Country</t>
  </si>
  <si>
    <t>Nov 2023</t>
  </si>
  <si>
    <t>Dec 2023</t>
  </si>
  <si>
    <t>Jan 2024</t>
  </si>
  <si>
    <t>Feb 2024</t>
  </si>
  <si>
    <t>Mar 2024</t>
  </si>
  <si>
    <t>Apr 2024</t>
  </si>
  <si>
    <t>Last 6 months</t>
  </si>
  <si>
    <t>Share</t>
  </si>
  <si>
    <t>China</t>
  </si>
  <si>
    <t>United States</t>
  </si>
  <si>
    <t>Brazil</t>
  </si>
  <si>
    <t>South Korea</t>
  </si>
  <si>
    <t>France</t>
  </si>
  <si>
    <t>United Kingdom</t>
  </si>
  <si>
    <t>Germany</t>
  </si>
  <si>
    <t>Spain</t>
  </si>
  <si>
    <t>Japan</t>
  </si>
  <si>
    <t>Australia</t>
  </si>
  <si>
    <t>Belgium</t>
  </si>
  <si>
    <t>Poland</t>
  </si>
  <si>
    <t>Colombia</t>
  </si>
  <si>
    <t>Total</t>
  </si>
  <si>
    <t>Allocation: chosen forecast × country share</t>
  </si>
  <si>
    <t>Total forecast</t>
  </si>
  <si>
    <t>Sum of countries</t>
  </si>
  <si>
    <t>Difference vs total (must be 0)</t>
  </si>
  <si>
    <t>Step 10 · Forecast vs plan: will we land the number?</t>
  </si>
  <si>
    <t>For every plan month: use the actual if the month has happened, otherwise the forecast. Compare with the plan.</t>
  </si>
  <si>
    <t>Plan source: core.fact_plan (constructed from a published rule, because TheLook ships no budget).</t>
  </si>
  <si>
    <t>Plan month.</t>
  </si>
  <si>
    <t>Budgeted net sales.</t>
  </si>
  <si>
    <t>From Data, if this month has happened.</t>
  </si>
  <si>
    <t>From Forecast, for future months.</t>
  </si>
  <si>
    <t>Which one is used.</t>
  </si>
  <si>
    <t>Actual, otherwise forecast.</t>
  </si>
  <si>
    <t>Expected − plan.</t>
  </si>
  <si>
    <t>Expected ÷ plan.</t>
  </si>
  <si>
    <t>Plan</t>
  </si>
  <si>
    <t>Basis</t>
  </si>
  <si>
    <t>Expected</t>
  </si>
  <si>
    <t>Gap to plan</t>
  </si>
  <si>
    <t>Achievement</t>
  </si>
  <si>
    <t>Read carefully: the plan is constructed and the growth is synthetic, so ~120% means 'the series supports far more than the plan assumed', not 'we will beat budget by 20%'.</t>
  </si>
  <si>
    <t>Step 11 · Checks: does Excel match the Python pipeline?</t>
  </si>
  <si>
    <t>Each row compares a result calculated by this workbook with the number saved by src/forecasting.py.</t>
  </si>
  <si>
    <t>All rows read PASS with the default settings. If you change Settings, CHECK is expected: you changed the method.</t>
  </si>
  <si>
    <t>Check</t>
  </si>
  <si>
    <t>Excel result</t>
  </si>
  <si>
    <t>Python result</t>
  </si>
  <si>
    <t>Result</t>
  </si>
  <si>
    <t>Champion model</t>
  </si>
  <si>
    <t>Drift MAPE (all 8 steps)</t>
  </si>
  <si>
    <t>Seasonal naive MAPE</t>
  </si>
  <si>
    <t>Drift bias</t>
  </si>
  <si>
    <t>Drift worst single error</t>
  </si>
  <si>
    <t>Forecast, May 2024</t>
  </si>
  <si>
    <t>Forecast, Dec 2024</t>
  </si>
  <si>
    <t>Expected vs plan</t>
  </si>
  <si>
    <t>Old design drift MAPE</t>
  </si>
  <si>
    <t>Old design Holt-Winters MAPE</t>
  </si>
  <si>
    <t>Country split reconciles (sum of |difference|)</t>
  </si>
  <si>
    <t>Python results: artifacts/forecast_summary.json and data/processed/analysis/forecast_monthly.csv; old-design scores recomputed with src/forecasting.py.</t>
  </si>
  <si>
    <t>Step 12 · The seven review checks</t>
  </si>
  <si>
    <t>docs/forecast_review.md audited src/forecasting.py with seven checks chosen before any were run. Each row below shows the live evidence from this workbook.</t>
  </si>
  <si>
    <t>Two found a defect (fixed), two tested a worry that turned out to be wrong, and three passed.</t>
  </si>
  <si>
    <t>#</t>
  </si>
  <si>
    <t>Evidence</t>
  </si>
  <si>
    <t>Value in this workbook</t>
  </si>
  <si>
    <t>Conclusion</t>
  </si>
  <si>
    <t>Does the backtest test the horizon the model is run at?</t>
  </si>
  <si>
    <t>Holt-Winters error 1 month vs 8 months ahead (Scores)</t>
  </si>
  <si>
    <t>Defect, fixed. The first version scored 1 month ahead but ran 8; now every step is scored.</t>
  </si>
  <si>
    <t>Does the log back-transform make Holt-Winters forecast too low?</t>
  </si>
  <si>
    <t>Holt-Winters bias, 1 month ahead, old 6 tests (table below)</t>
  </si>
  <si>
    <t>Does MAPE's asymmetry distort the ranking?</t>
  </si>
  <si>
    <t>Same ranking under MAPE, sMAPE, RMSE% and median error? (table below)</t>
  </si>
  <si>
    <t>Is the ranking stable, or an accident of too few folds?</t>
  </si>
  <si>
    <t>Old design wins (drift–HW) and new design tests won by drift</t>
  </si>
  <si>
    <t>Defect, fixed. 6 one-month checks split 3–3; now 24 tests × 8 months = 192 folds.</t>
  </si>
  <si>
    <t>Does the drift clip [0.5, 2.5] ever bind?</t>
  </si>
  <si>
    <t>Times the clip changed a backtest ratio / in the real forecast</t>
  </si>
  <si>
    <t>Passes in the backtest. Note: it does bind in the real forecast (Apr 2024 ÷ Apr 2023 = 2.85).</t>
  </si>
  <si>
    <t>Is the incomplete final month excluded?</t>
  </si>
  <si>
    <t>Last month used and number of months (Settings)</t>
  </si>
  <si>
    <t>Pass. May 2024 is incomplete and is not in the Data tab (see the note under the table).</t>
  </si>
  <si>
    <t>Does the country allocation reconcile to the total?</t>
  </si>
  <si>
    <t>Sum of |countries − total| across 8 months (CountrySplit)</t>
  </si>
  <si>
    <t>Checks 2 and 3: other error metrics on the old design's 6 one-month folds</t>
  </si>
  <si>
    <t>Same folds as the OldDesign tab. If all four error metrics rank the models the same way, the choice does not depend on MAPE's quirks.</t>
  </si>
  <si>
    <t>Metric</t>
  </si>
  <si>
    <t>Rank naive</t>
  </si>
  <si>
    <t>Rank drift</t>
  </si>
  <si>
    <t>Rank HW</t>
  </si>
  <si>
    <t>MAPE: average |error| ÷ actual</t>
  </si>
  <si>
    <t>sMAPE: |error| ÷ average of forecast and actual</t>
  </si>
  <si>
    <t>RMSE%: square root of average squared % error</t>
  </si>
  <si>
    <t>Median error</t>
  </si>
  <si>
    <t>Bias: average (forecast ÷ actual − 1)</t>
  </si>
  <si>
    <t>Same ranking under all four error metrics?</t>
  </si>
  <si>
    <t>The 0.02 (2%) threshold in check 2 is a judgement call: a bias that small is negligible next to an error of 10% or more.</t>
  </si>
  <si>
    <t>Reference · Holt-Winters predictions computed in Python</t>
  </si>
  <si>
    <t>Holt-Winters is fitted by statsmodels' ExponentialSmoothing on log(net sales), with its smoothing parameters optimised by the computer.</t>
  </si>
  <si>
    <t>Excel cannot reproduce that fit exactly, so the predictions are pasted here (grey) and looked up by the other tabs. Source: fc.holt_winters_log() run on the same data.</t>
  </si>
  <si>
    <t>Backtest predictions: one row per possible test (offset), 8 steps ahead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</si>
  <si>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</si>
  <si>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</si>
  <si>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</si>
  <si>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</si>
  <si>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</si>
  <si>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</si>
  <si>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</si>
  <si>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</si>
  <si>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Old design: one month ahead (used by OldDesign)</t>
  </si>
  <si>
    <t>Prediction</t>
  </si>
  <si>
    <t>Production forecast, May to Dec 2024 (used by Forecast)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</si>
</sst>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mmm\ yyyy"/>
    <numFmt numFmtId="166" formatCode="\$#,##0;\-\$#,##0;&quot;-&quot;"/>
    <numFmt numFmtId="167" formatCode="0.0%;\-0.0%;0.0%"/>
    <numFmt numFmtId="168" formatCode="0.000"/>
    <numFmt numFmtId="169" formatCode="0.00&quot;×&quot;"/>
    <numFmt numFmtId="170" formatCode="0.0"/>
    <numFmt numFmtId="171" formatCode="\+0.0;\-0.0;0.0"/>
  </numFmts>
  <fonts count="11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10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4"/>
      <color rgb="FF1F3864"/>
      <name val="Arial"/>
    </font>
    <font>
      <i/>
      <sz val="10"/>
      <color rgb="FF595959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2" fillId="0" borderId="1" xfId="0" applyFont="1" applyBorder="1"/>
    <xf numFmtId="0" fontId="7" fillId="0" borderId="1" xfId="0" applyFont="1" applyBorder="1"/>
    <xf numFmtId="0" fontId="6" fillId="3" borderId="1" xfId="0" applyFont="1" applyFill="1" applyBorder="1"/>
    <xf numFmtId="0" fontId="6" fillId="4" borderId="1" xfId="0" applyFont="1" applyFill="1" applyBorder="1"/>
    <xf numFmtId="0" fontId="5" fillId="5" borderId="1" xfId="0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top" wrapText="1"/>
    </xf>
    <xf numFmtId="165" fontId="6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168" fontId="2" fillId="0" borderId="1" xfId="0" applyNumberFormat="1" applyFont="1" applyBorder="1"/>
    <xf numFmtId="169" fontId="2" fillId="0" borderId="1" xfId="0" applyNumberFormat="1" applyFont="1" applyBorder="1"/>
    <xf numFmtId="0" fontId="10" fillId="0" borderId="0" xfId="0" applyFont="1" applyAlignment="1">
      <alignment vertical="top"/>
    </xf>
    <xf numFmtId="0" fontId="5" fillId="0" borderId="1" xfId="0" applyFont="1" applyBorder="1"/>
    <xf numFmtId="1" fontId="6" fillId="0" borderId="1" xfId="0" applyNumberFormat="1" applyFont="1" applyBorder="1"/>
    <xf numFmtId="0" fontId="10" fillId="0" borderId="1" xfId="0" applyFont="1" applyBorder="1"/>
    <xf numFmtId="1" fontId="6" fillId="4" borderId="1" xfId="0" applyNumberFormat="1" applyFont="1" applyFill="1" applyBorder="1"/>
    <xf numFmtId="1" fontId="2" fillId="0" borderId="1" xfId="0" applyNumberFormat="1" applyFont="1" applyBorder="1"/>
    <xf numFmtId="170" fontId="6" fillId="0" borderId="1" xfId="0" applyNumberFormat="1" applyFont="1" applyBorder="1"/>
    <xf numFmtId="170" fontId="6" fillId="4" borderId="1" xfId="0" applyNumberFormat="1" applyFont="1" applyFill="1" applyBorder="1"/>
    <xf numFmtId="165" fontId="2" fillId="0" borderId="1" xfId="0" applyNumberFormat="1" applyFont="1" applyBorder="1"/>
    <xf numFmtId="1" fontId="2" fillId="5" borderId="1" xfId="0" applyNumberFormat="1" applyFont="1" applyFill="1" applyBorder="1"/>
    <xf numFmtId="169" fontId="6" fillId="4" borderId="1" xfId="0" applyNumberFormat="1" applyFont="1" applyFill="1" applyBorder="1"/>
    <xf numFmtId="171" fontId="6" fillId="4" borderId="1" xfId="0" applyNumberFormat="1" applyFont="1" applyFill="1" applyBorder="1"/>
    <xf numFmtId="166" fontId="2" fillId="0" borderId="1" xfId="0" applyNumberFormat="1" applyFont="1" applyBorder="1"/>
    <xf numFmtId="168" fontId="2" fillId="5" borderId="1" xfId="0" applyNumberFormat="1" applyFont="1" applyFill="1" applyBorder="1"/>
    <xf numFmtId="167" fontId="2" fillId="0" borderId="1" xfId="0" applyNumberFormat="1" applyFont="1" applyBorder="1"/>
    <xf numFmtId="167" fontId="5" fillId="5" borderId="1" xfId="0" applyNumberFormat="1" applyFont="1" applyFill="1" applyBorder="1"/>
    <xf numFmtId="1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  <xf numFmtId="168" fontId="2" fillId="0" borderId="2" xfId="0" applyNumberFormat="1" applyFont="1" applyBorder="1"/>
    <xf numFmtId="167" fontId="2" fillId="0" borderId="2" xfId="0" applyNumberFormat="1" applyFont="1" applyBorder="1"/>
    <xf numFmtId="167" fontId="2" fillId="5" borderId="1" xfId="0" applyNumberFormat="1" applyFont="1" applyFill="1" applyBorder="1"/>
    <xf numFmtId="1" fontId="7" fillId="0" borderId="1" xfId="0" applyNumberFormat="1" applyFont="1" applyBorder="1"/>
    <xf numFmtId="167" fontId="7" fillId="0" borderId="1" xfId="0" applyNumberFormat="1" applyFont="1" applyBorder="1"/>
    <xf numFmtId="166" fontId="5" fillId="5" borderId="1" xfId="0" applyNumberFormat="1" applyFont="1" applyFill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9" fontId="7" fillId="0" borderId="1" xfId="0" applyNumberFormat="1" applyFont="1" applyBorder="1"/>
    <xf numFmtId="165" fontId="7" fillId="0" borderId="1" xfId="0" applyNumberFormat="1" applyFont="1" applyBorder="1"/>
    <xf numFmtId="166" fontId="7" fillId="0" borderId="1" xfId="0" applyNumberFormat="1" applyFont="1" applyBorder="1"/>
    <xf numFmtId="166" fontId="2" fillId="5" borderId="1" xfId="0" applyNumberFormat="1" applyFont="1" applyFill="1" applyBorder="1"/>
    <xf numFmtId="165" fontId="4" fillId="2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/>
    <xf numFmtId="2" fontId="7" fillId="0" borderId="1" xfId="0" applyNumberFormat="1" applyFont="1" applyBorder="1"/>
    <xf numFmtId="2" fontId="6" fillId="0" borderId="1" xfId="0" applyNumberFormat="1" applyFont="1" applyBorder="1"/>
    <xf numFmtId="0" fontId="5" fillId="0" borderId="1" xfId="0" applyFont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4" fontId="2" fillId="5" borderId="1" xfId="0" applyNumberFormat="1" applyFont="1" applyFill="1" applyBorder="1" applyAlignment="1">
      <alignment vertical="top" wrapText="1"/>
    </xf>
    <xf numFmtId="1" fontId="6" fillId="3" borderId="1" xfId="0" applyNumberFormat="1" applyFont="1" applyFill="1" applyBorder="1"/>
    <xf numFmtId="166" fontId="6" fillId="3" borderId="1" xfId="0" applyNumberFormat="1" applyFont="1" applyFill="1" applyBorder="1"/>
    <xf numFmtId="0" fontId="5" fillId="0" borderId="1" xfId="0" applyFont="1" applyBorder="1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color rgb="FFBFBFBF"/>
        <name val="Arial"/>
      </font>
    </dxf>
    <dxf>
      <font>
        <color rgb="FFBFBFBF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net sales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Data!$C$6</c:f>
              <c:strCache>
                <c:ptCount val="1"/>
                <c:pt idx="0">
                  <c:v>Net sales ($)</c:v>
                </c:pt>
              </c:strCache>
            </c:strRef>
          </c:tx>
          <c:spPr>
            <a:ln w="22000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numRef>
              <c:f>Data!$B$7:$B$70</c:f>
              <c:numCache>
                <c:formatCode>mmm\ yyyy</c:formatCode>
                <c:ptCount val="6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</c:numCache>
            </c:numRef>
          </c:cat>
          <c:val>
            <c:numRef>
              <c:f>Data!$C$7:$C$70</c:f>
              <c:numCache>
                <c:formatCode>\$#,##0;\-\$#,##0;"-"</c:formatCode>
                <c:ptCount val="64"/>
                <c:pt idx="0">
                  <c:v>1035.6399946212771</c:v>
                </c:pt>
                <c:pt idx="1">
                  <c:v>1826.2600069046021</c:v>
                </c:pt>
                <c:pt idx="2">
                  <c:v>5955.7299945354462</c:v>
                </c:pt>
                <c:pt idx="3">
                  <c:v>7347.1900215148926</c:v>
                </c:pt>
                <c:pt idx="4">
                  <c:v>8589.6900062561035</c:v>
                </c:pt>
                <c:pt idx="5">
                  <c:v>10800.879998683929</c:v>
                </c:pt>
                <c:pt idx="6">
                  <c:v>13378.13003444672</c:v>
                </c:pt>
                <c:pt idx="7">
                  <c:v>15560.660058498381</c:v>
                </c:pt>
                <c:pt idx="8">
                  <c:v>16565.280012130741</c:v>
                </c:pt>
                <c:pt idx="9">
                  <c:v>20219.630028504878</c:v>
                </c:pt>
                <c:pt idx="10">
                  <c:v>22429.330026626591</c:v>
                </c:pt>
                <c:pt idx="11">
                  <c:v>24593.150034427639</c:v>
                </c:pt>
                <c:pt idx="12">
                  <c:v>28926.909976959229</c:v>
                </c:pt>
                <c:pt idx="13">
                  <c:v>25472.470043897629</c:v>
                </c:pt>
                <c:pt idx="14">
                  <c:v>33801.990017652512</c:v>
                </c:pt>
                <c:pt idx="15">
                  <c:v>34806.270035743713</c:v>
                </c:pt>
                <c:pt idx="16">
                  <c:v>36725.070060968399</c:v>
                </c:pt>
                <c:pt idx="17">
                  <c:v>36275.650037527077</c:v>
                </c:pt>
                <c:pt idx="18">
                  <c:v>44275.790027856827</c:v>
                </c:pt>
                <c:pt idx="19">
                  <c:v>46063.200017929077</c:v>
                </c:pt>
                <c:pt idx="20">
                  <c:v>42591.050033092499</c:v>
                </c:pt>
                <c:pt idx="21">
                  <c:v>49207.389997005463</c:v>
                </c:pt>
                <c:pt idx="22">
                  <c:v>54805.390057325363</c:v>
                </c:pt>
                <c:pt idx="23">
                  <c:v>51901.930014848709</c:v>
                </c:pt>
                <c:pt idx="24">
                  <c:v>61942.760003089898</c:v>
                </c:pt>
                <c:pt idx="25">
                  <c:v>56663.070067644119</c:v>
                </c:pt>
                <c:pt idx="26">
                  <c:v>60978.700088500977</c:v>
                </c:pt>
                <c:pt idx="27">
                  <c:v>70861.690135478973</c:v>
                </c:pt>
                <c:pt idx="28">
                  <c:v>74001.790117025375</c:v>
                </c:pt>
                <c:pt idx="29">
                  <c:v>74855.450057983398</c:v>
                </c:pt>
                <c:pt idx="30">
                  <c:v>80016.69003367424</c:v>
                </c:pt>
                <c:pt idx="31">
                  <c:v>80303.24014878273</c:v>
                </c:pt>
                <c:pt idx="32">
                  <c:v>84924.860115528107</c:v>
                </c:pt>
                <c:pt idx="33">
                  <c:v>91275.620025634766</c:v>
                </c:pt>
                <c:pt idx="34">
                  <c:v>94327.220094442368</c:v>
                </c:pt>
                <c:pt idx="35">
                  <c:v>95950.710146665573</c:v>
                </c:pt>
                <c:pt idx="36">
                  <c:v>113670.3201682568</c:v>
                </c:pt>
                <c:pt idx="37">
                  <c:v>98015.390212059021</c:v>
                </c:pt>
                <c:pt idx="38">
                  <c:v>119287.8302438259</c:v>
                </c:pt>
                <c:pt idx="39">
                  <c:v>113637.6201777458</c:v>
                </c:pt>
                <c:pt idx="40">
                  <c:v>119652.1701276302</c:v>
                </c:pt>
                <c:pt idx="41">
                  <c:v>133353.570147872</c:v>
                </c:pt>
                <c:pt idx="42">
                  <c:v>137325.9301383495</c:v>
                </c:pt>
                <c:pt idx="43">
                  <c:v>142612.7901010513</c:v>
                </c:pt>
                <c:pt idx="44">
                  <c:v>137519.58025622371</c:v>
                </c:pt>
                <c:pt idx="45">
                  <c:v>152485.03018927571</c:v>
                </c:pt>
                <c:pt idx="46">
                  <c:v>155504.0401403904</c:v>
                </c:pt>
                <c:pt idx="47">
                  <c:v>160734.2702050395</c:v>
                </c:pt>
                <c:pt idx="48">
                  <c:v>188680.17009925839</c:v>
                </c:pt>
                <c:pt idx="49">
                  <c:v>167409.8501970768</c:v>
                </c:pt>
                <c:pt idx="50">
                  <c:v>184777.90021240711</c:v>
                </c:pt>
                <c:pt idx="51">
                  <c:v>193149.96007275581</c:v>
                </c:pt>
                <c:pt idx="52">
                  <c:v>209624.34030818939</c:v>
                </c:pt>
                <c:pt idx="53">
                  <c:v>205503.24020504949</c:v>
                </c:pt>
                <c:pt idx="54">
                  <c:v>232777.6403400898</c:v>
                </c:pt>
                <c:pt idx="55">
                  <c:v>246129.77018761629</c:v>
                </c:pt>
                <c:pt idx="56">
                  <c:v>261138.52030706409</c:v>
                </c:pt>
                <c:pt idx="57">
                  <c:v>279981.62028169632</c:v>
                </c:pt>
                <c:pt idx="58">
                  <c:v>298467.6802778244</c:v>
                </c:pt>
                <c:pt idx="59">
                  <c:v>326301.66045475012</c:v>
                </c:pt>
                <c:pt idx="60">
                  <c:v>348737.74029840901</c:v>
                </c:pt>
                <c:pt idx="61">
                  <c:v>381972.60026504472</c:v>
                </c:pt>
                <c:pt idx="62">
                  <c:v>441334.21046054357</c:v>
                </c:pt>
                <c:pt idx="63">
                  <c:v>550157.88051688671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0-435F-BEA4-72A041756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This test: forecasts vs what really happened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OneTest!$D$18</c:f>
              <c:strCache>
                <c:ptCount val="1"/>
                <c:pt idx="0">
                  <c:v>Actual</c:v>
                </c:pt>
              </c:strCache>
            </c:strRef>
          </c:tx>
          <c:spPr>
            <a:ln w="220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OneTest!$C$19:$C$26</c:f>
              <c:numCache>
                <c:formatCode>mmm\ yyyy</c:formatCode>
                <c:ptCount val="8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</c:numCache>
            </c:numRef>
          </c:cat>
          <c:val>
            <c:numRef>
              <c:f>OneTest!$D$19:$D$26</c:f>
              <c:numCache>
                <c:formatCode>\$#,##0;\-\$#,##0;"-"</c:formatCode>
                <c:ptCount val="8"/>
                <c:pt idx="0">
                  <c:v>261138.52030706409</c:v>
                </c:pt>
                <c:pt idx="1">
                  <c:v>279981.62028169632</c:v>
                </c:pt>
                <c:pt idx="2">
                  <c:v>298467.6802778244</c:v>
                </c:pt>
                <c:pt idx="3">
                  <c:v>326301.66045475012</c:v>
                </c:pt>
                <c:pt idx="4">
                  <c:v>348737.74029840901</c:v>
                </c:pt>
                <c:pt idx="5">
                  <c:v>381972.60026504472</c:v>
                </c:pt>
                <c:pt idx="6">
                  <c:v>441334.21046054357</c:v>
                </c:pt>
                <c:pt idx="7">
                  <c:v>550157.88051688671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9-42AD-B26E-D42CFA0DFE74}"/>
            </c:ext>
          </c:extLst>
        </c:ser>
        <c:ser>
          <c:idx val="1"/>
          <c:order val="1"/>
          <c:tx>
            <c:strRef>
              <c:f>OneTest!$E$18</c:f>
              <c:strCache>
                <c:ptCount val="1"/>
                <c:pt idx="0">
                  <c:v>Seasonal naive</c:v>
                </c:pt>
              </c:strCache>
            </c:strRef>
          </c:tx>
          <c:spPr>
            <a:ln w="22000">
              <a:solidFill>
                <a:srgbClr val="70AD47"/>
              </a:solidFill>
              <a:prstDash val="sysDot"/>
            </a:ln>
          </c:spPr>
          <c:marker>
            <c:symbol val="none"/>
          </c:marker>
          <c:cat>
            <c:numRef>
              <c:f>OneTest!$C$19:$C$26</c:f>
              <c:numCache>
                <c:formatCode>mmm\ yyyy</c:formatCode>
                <c:ptCount val="8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</c:numCache>
            </c:numRef>
          </c:cat>
          <c:val>
            <c:numRef>
              <c:f>OneTest!$E$19:$E$26</c:f>
              <c:numCache>
                <c:formatCode>\$#,##0;\-\$#,##0;"-"</c:formatCode>
                <c:ptCount val="8"/>
                <c:pt idx="0">
                  <c:v>137519.58025622371</c:v>
                </c:pt>
                <c:pt idx="1">
                  <c:v>152485.03018927571</c:v>
                </c:pt>
                <c:pt idx="2">
                  <c:v>155504.0401403904</c:v>
                </c:pt>
                <c:pt idx="3">
                  <c:v>160734.2702050395</c:v>
                </c:pt>
                <c:pt idx="4">
                  <c:v>188680.17009925839</c:v>
                </c:pt>
                <c:pt idx="5">
                  <c:v>167409.8501970768</c:v>
                </c:pt>
                <c:pt idx="6">
                  <c:v>184777.90021240711</c:v>
                </c:pt>
                <c:pt idx="7">
                  <c:v>193149.96007275581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9-42AD-B26E-D42CFA0DFE74}"/>
            </c:ext>
          </c:extLst>
        </c:ser>
        <c:ser>
          <c:idx val="2"/>
          <c:order val="2"/>
          <c:tx>
            <c:strRef>
              <c:f>OneTest!$F$18</c:f>
              <c:strCache>
                <c:ptCount val="1"/>
                <c:pt idx="0">
                  <c:v>Drift</c:v>
                </c:pt>
              </c:strCache>
            </c:strRef>
          </c:tx>
          <c:spPr>
            <a:ln w="22000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numRef>
              <c:f>OneTest!$C$19:$C$26</c:f>
              <c:numCache>
                <c:formatCode>mmm\ yyyy</c:formatCode>
                <c:ptCount val="8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</c:numCache>
            </c:numRef>
          </c:cat>
          <c:val>
            <c:numRef>
              <c:f>OneTest!$F$19:$F$26</c:f>
              <c:numCache>
                <c:formatCode>\$#,##0;\-\$#,##0;"-"</c:formatCode>
                <c:ptCount val="8"/>
                <c:pt idx="0">
                  <c:v>237339.60089258698</c:v>
                </c:pt>
                <c:pt idx="1">
                  <c:v>263167.87863798684</c:v>
                </c:pt>
                <c:pt idx="2">
                  <c:v>268378.26842795918</c:v>
                </c:pt>
                <c:pt idx="3">
                  <c:v>277404.91549747018</c:v>
                </c:pt>
                <c:pt idx="4">
                  <c:v>325635.63809799188</c:v>
                </c:pt>
                <c:pt idx="5">
                  <c:v>288926.03480342421</c:v>
                </c:pt>
                <c:pt idx="6">
                  <c:v>318900.86494209047</c:v>
                </c:pt>
                <c:pt idx="7">
                  <c:v>333349.87171044905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09-42AD-B26E-D42CFA0DFE74}"/>
            </c:ext>
          </c:extLst>
        </c:ser>
        <c:ser>
          <c:idx val="3"/>
          <c:order val="3"/>
          <c:tx>
            <c:strRef>
              <c:f>OneTest!$G$18</c:f>
              <c:strCache>
                <c:ptCount val="1"/>
                <c:pt idx="0">
                  <c:v>Holt-Winters (Python)</c:v>
                </c:pt>
              </c:strCache>
            </c:strRef>
          </c:tx>
          <c:spPr>
            <a:ln w="2200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OneTest!$C$19:$C$26</c:f>
              <c:numCache>
                <c:formatCode>mmm\ yyyy</c:formatCode>
                <c:ptCount val="8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</c:numCache>
            </c:numRef>
          </c:cat>
          <c:val>
            <c:numRef>
              <c:f>OneTest!$G$19:$G$26</c:f>
              <c:numCache>
                <c:formatCode>\$#,##0;\-\$#,##0;"-"</c:formatCode>
                <c:ptCount val="8"/>
                <c:pt idx="0">
                  <c:v>247168.28464112661</c:v>
                </c:pt>
                <c:pt idx="1">
                  <c:v>285815.1418645879</c:v>
                </c:pt>
                <c:pt idx="2">
                  <c:v>313887.29476609977</c:v>
                </c:pt>
                <c:pt idx="3">
                  <c:v>333921.42350041261</c:v>
                </c:pt>
                <c:pt idx="4">
                  <c:v>415827.73565690097</c:v>
                </c:pt>
                <c:pt idx="5">
                  <c:v>395880.78372154542</c:v>
                </c:pt>
                <c:pt idx="6">
                  <c:v>540121.06186953187</c:v>
                </c:pt>
                <c:pt idx="7">
                  <c:v>557020.58034660807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09-42AD-B26E-D42CFA0DF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Average error by months ahead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Scores!$C$15</c:f>
              <c:strCache>
                <c:ptCount val="1"/>
                <c:pt idx="0">
                  <c:v>seasonal_naive</c:v>
                </c:pt>
              </c:strCache>
            </c:strRef>
          </c:tx>
          <c:spPr>
            <a:ln w="22000">
              <a:solidFill>
                <a:srgbClr val="70AD47"/>
              </a:solidFill>
              <a:prstDash val="sysDot"/>
            </a:ln>
          </c:spPr>
          <c:marker>
            <c:symbol val="none"/>
          </c:marker>
          <c:cat>
            <c:numRef>
              <c:f>Scores!$B$16:$B$23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Scores!$C$16:$C$23</c:f>
              <c:numCache>
                <c:formatCode>0.0%;\-0.0%;0.0%</c:formatCode>
                <c:ptCount val="8"/>
                <c:pt idx="0">
                  <c:v>0.41659902421691103</c:v>
                </c:pt>
                <c:pt idx="1">
                  <c:v>0.41636913091915323</c:v>
                </c:pt>
                <c:pt idx="2">
                  <c:v>0.41886936212547549</c:v>
                </c:pt>
                <c:pt idx="3">
                  <c:v>0.42088305968351736</c:v>
                </c:pt>
                <c:pt idx="4">
                  <c:v>0.42104539402794733</c:v>
                </c:pt>
                <c:pt idx="5">
                  <c:v>0.42687150602425961</c:v>
                </c:pt>
                <c:pt idx="6">
                  <c:v>0.430726064563064</c:v>
                </c:pt>
                <c:pt idx="7">
                  <c:v>0.44208002340018981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A8-48A3-81E2-C2888F09BE81}"/>
            </c:ext>
          </c:extLst>
        </c:ser>
        <c:ser>
          <c:idx val="1"/>
          <c:order val="1"/>
          <c:tx>
            <c:strRef>
              <c:f>Scores!$D$15</c:f>
              <c:strCache>
                <c:ptCount val="1"/>
                <c:pt idx="0">
                  <c:v>seasonal_naive_drift</c:v>
                </c:pt>
              </c:strCache>
            </c:strRef>
          </c:tx>
          <c:spPr>
            <a:ln w="22000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numRef>
              <c:f>Scores!$B$16:$B$23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Scores!$D$16:$D$23</c:f>
              <c:numCache>
                <c:formatCode>0.0%;\-0.0%;0.0%</c:formatCode>
                <c:ptCount val="8"/>
                <c:pt idx="0">
                  <c:v>6.4570075766075596E-2</c:v>
                </c:pt>
                <c:pt idx="1">
                  <c:v>6.5695992265419653E-2</c:v>
                </c:pt>
                <c:pt idx="2">
                  <c:v>5.8963696892174546E-2</c:v>
                </c:pt>
                <c:pt idx="3">
                  <c:v>7.890936458737853E-2</c:v>
                </c:pt>
                <c:pt idx="4">
                  <c:v>7.2840692453365066E-2</c:v>
                </c:pt>
                <c:pt idx="5">
                  <c:v>8.0449102377536733E-2</c:v>
                </c:pt>
                <c:pt idx="6">
                  <c:v>0.10347269059363533</c:v>
                </c:pt>
                <c:pt idx="7">
                  <c:v>0.11529421225514012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A8-48A3-81E2-C2888F09BE81}"/>
            </c:ext>
          </c:extLst>
        </c:ser>
        <c:ser>
          <c:idx val="2"/>
          <c:order val="2"/>
          <c:tx>
            <c:strRef>
              <c:f>Scores!$E$15</c:f>
              <c:strCache>
                <c:ptCount val="1"/>
                <c:pt idx="0">
                  <c:v>holt_winters_log</c:v>
                </c:pt>
              </c:strCache>
            </c:strRef>
          </c:tx>
          <c:spPr>
            <a:ln w="2200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Scores!$B$16:$B$23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Scores!$E$16:$E$23</c:f>
              <c:numCache>
                <c:formatCode>0.0%;\-0.0%;0.0%</c:formatCode>
                <c:ptCount val="8"/>
                <c:pt idx="0">
                  <c:v>8.2601101724953066E-2</c:v>
                </c:pt>
                <c:pt idx="1">
                  <c:v>0.13481126442768507</c:v>
                </c:pt>
                <c:pt idx="2">
                  <c:v>0.17547590187708406</c:v>
                </c:pt>
                <c:pt idx="3">
                  <c:v>0.22306176517455412</c:v>
                </c:pt>
                <c:pt idx="4">
                  <c:v>0.29018289219148546</c:v>
                </c:pt>
                <c:pt idx="5">
                  <c:v>0.34702435327736381</c:v>
                </c:pt>
                <c:pt idx="6">
                  <c:v>0.38973025599488054</c:v>
                </c:pt>
                <c:pt idx="7">
                  <c:v>0.43512759230036013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A8-48A3-81E2-C2888F09B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Months ahead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Average error per test, all 32 possible (first 8 skipped)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Scores!$G$28</c:f>
              <c:strCache>
                <c:ptCount val="1"/>
                <c:pt idx="0">
                  <c:v>seasonal_naive_drift</c:v>
                </c:pt>
              </c:strCache>
            </c:strRef>
          </c:tx>
          <c:spPr>
            <a:ln w="22000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numRef>
              <c:f>Scores!$D$29:$D$60</c:f>
              <c:numCache>
                <c:formatCode>mmm\ yyyy</c:formatCode>
                <c:ptCount val="3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</c:numCache>
            </c:numRef>
          </c:cat>
          <c:val>
            <c:numRef>
              <c:f>Scores!$G$29:$G$60</c:f>
              <c:numCache>
                <c:formatCode>0.0%;\-0.0%;0.0%</c:formatCode>
                <c:ptCount val="32"/>
                <c:pt idx="0">
                  <c:v>0.10796355133043997</c:v>
                </c:pt>
                <c:pt idx="1">
                  <c:v>0.16617464258596873</c:v>
                </c:pt>
                <c:pt idx="2">
                  <c:v>6.8981516336856161E-2</c:v>
                </c:pt>
                <c:pt idx="3">
                  <c:v>9.0101716583724401E-2</c:v>
                </c:pt>
                <c:pt idx="4">
                  <c:v>9.3747339194670085E-2</c:v>
                </c:pt>
                <c:pt idx="5">
                  <c:v>0.13817025800002969</c:v>
                </c:pt>
                <c:pt idx="6">
                  <c:v>4.5571376560889013E-2</c:v>
                </c:pt>
                <c:pt idx="7">
                  <c:v>6.3687368136879377E-2</c:v>
                </c:pt>
                <c:pt idx="8">
                  <c:v>0.13090475332716325</c:v>
                </c:pt>
                <c:pt idx="9">
                  <c:v>7.0143383231831891E-2</c:v>
                </c:pt>
                <c:pt idx="10">
                  <c:v>5.3844298776307906E-2</c:v>
                </c:pt>
                <c:pt idx="11">
                  <c:v>7.2897323433372532E-2</c:v>
                </c:pt>
                <c:pt idx="12">
                  <c:v>8.3497547608368097E-2</c:v>
                </c:pt>
                <c:pt idx="13">
                  <c:v>5.3850312864109476E-2</c:v>
                </c:pt>
                <c:pt idx="14">
                  <c:v>0.1668539436317861</c:v>
                </c:pt>
                <c:pt idx="15">
                  <c:v>4.8783638212685727E-2</c:v>
                </c:pt>
                <c:pt idx="16">
                  <c:v>4.4175930943541136E-2</c:v>
                </c:pt>
                <c:pt idx="17">
                  <c:v>5.8505254846575212E-2</c:v>
                </c:pt>
                <c:pt idx="18">
                  <c:v>4.1625486975064789E-2</c:v>
                </c:pt>
                <c:pt idx="19">
                  <c:v>7.4774374004106858E-2</c:v>
                </c:pt>
                <c:pt idx="20">
                  <c:v>4.0819757521992447E-2</c:v>
                </c:pt>
                <c:pt idx="21">
                  <c:v>3.3821315806783124E-2</c:v>
                </c:pt>
                <c:pt idx="22">
                  <c:v>3.8511673432433113E-2</c:v>
                </c:pt>
                <c:pt idx="23">
                  <c:v>3.7034228933943543E-2</c:v>
                </c:pt>
                <c:pt idx="24">
                  <c:v>5.4712101929121265E-2</c:v>
                </c:pt>
                <c:pt idx="25">
                  <c:v>5.365557784086767E-2</c:v>
                </c:pt>
                <c:pt idx="26">
                  <c:v>0.11648748844004131</c:v>
                </c:pt>
                <c:pt idx="27">
                  <c:v>7.5882108764376274E-2</c:v>
                </c:pt>
                <c:pt idx="28">
                  <c:v>7.3140439357090928E-2</c:v>
                </c:pt>
                <c:pt idx="29">
                  <c:v>0.18449624548314836</c:v>
                </c:pt>
                <c:pt idx="30">
                  <c:v>0.13927129587836529</c:v>
                </c:pt>
                <c:pt idx="31">
                  <c:v>0.17289900032910044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9-401C-9B7C-48553C8DC598}"/>
            </c:ext>
          </c:extLst>
        </c:ser>
        <c:ser>
          <c:idx val="1"/>
          <c:order val="1"/>
          <c:tx>
            <c:strRef>
              <c:f>Scores!$H$28</c:f>
              <c:strCache>
                <c:ptCount val="1"/>
                <c:pt idx="0">
                  <c:v>holt_winters_log</c:v>
                </c:pt>
              </c:strCache>
            </c:strRef>
          </c:tx>
          <c:spPr>
            <a:ln w="2200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Scores!$D$29:$D$60</c:f>
              <c:numCache>
                <c:formatCode>mmm\ yyyy</c:formatCode>
                <c:ptCount val="32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  <c:pt idx="11">
                  <c:v>44562</c:v>
                </c:pt>
                <c:pt idx="12">
                  <c:v>44593</c:v>
                </c:pt>
                <c:pt idx="13">
                  <c:v>44621</c:v>
                </c:pt>
                <c:pt idx="14">
                  <c:v>44652</c:v>
                </c:pt>
                <c:pt idx="15">
                  <c:v>44682</c:v>
                </c:pt>
                <c:pt idx="16">
                  <c:v>44713</c:v>
                </c:pt>
                <c:pt idx="17">
                  <c:v>44743</c:v>
                </c:pt>
                <c:pt idx="18">
                  <c:v>44774</c:v>
                </c:pt>
                <c:pt idx="19">
                  <c:v>44805</c:v>
                </c:pt>
                <c:pt idx="20">
                  <c:v>44835</c:v>
                </c:pt>
                <c:pt idx="21">
                  <c:v>44866</c:v>
                </c:pt>
                <c:pt idx="22">
                  <c:v>44896</c:v>
                </c:pt>
                <c:pt idx="23">
                  <c:v>44927</c:v>
                </c:pt>
                <c:pt idx="24">
                  <c:v>44958</c:v>
                </c:pt>
                <c:pt idx="25">
                  <c:v>44986</c:v>
                </c:pt>
                <c:pt idx="26">
                  <c:v>45017</c:v>
                </c:pt>
                <c:pt idx="27">
                  <c:v>45047</c:v>
                </c:pt>
                <c:pt idx="28">
                  <c:v>45078</c:v>
                </c:pt>
                <c:pt idx="29">
                  <c:v>45108</c:v>
                </c:pt>
                <c:pt idx="30">
                  <c:v>45139</c:v>
                </c:pt>
                <c:pt idx="31">
                  <c:v>45170</c:v>
                </c:pt>
              </c:numCache>
            </c:numRef>
          </c:cat>
          <c:val>
            <c:numRef>
              <c:f>Scores!$H$29:$H$60</c:f>
              <c:numCache>
                <c:formatCode>0.0%;\-0.0%;0.0%</c:formatCode>
                <c:ptCount val="32"/>
                <c:pt idx="0">
                  <c:v>1.8766435783816005</c:v>
                </c:pt>
                <c:pt idx="1">
                  <c:v>1.345579774018449</c:v>
                </c:pt>
                <c:pt idx="2">
                  <c:v>0.29561627524810241</c:v>
                </c:pt>
                <c:pt idx="3">
                  <c:v>0.40933568008287979</c:v>
                </c:pt>
                <c:pt idx="4">
                  <c:v>0.3940781066098934</c:v>
                </c:pt>
                <c:pt idx="5">
                  <c:v>0.36982031903560109</c:v>
                </c:pt>
                <c:pt idx="6">
                  <c:v>0.33962949750783267</c:v>
                </c:pt>
                <c:pt idx="7">
                  <c:v>0.4111653367404301</c:v>
                </c:pt>
                <c:pt idx="8">
                  <c:v>0.69159432791704556</c:v>
                </c:pt>
                <c:pt idx="9">
                  <c:v>0.69412154438559903</c:v>
                </c:pt>
                <c:pt idx="10">
                  <c:v>8.8991578695044538E-2</c:v>
                </c:pt>
                <c:pt idx="11">
                  <c:v>0.11101513560252931</c:v>
                </c:pt>
                <c:pt idx="12">
                  <c:v>0.10877436112802405</c:v>
                </c:pt>
                <c:pt idx="13">
                  <c:v>0.22848205519746798</c:v>
                </c:pt>
                <c:pt idx="14">
                  <c:v>0.44982836702878004</c:v>
                </c:pt>
                <c:pt idx="15">
                  <c:v>0.38342991604889393</c:v>
                </c:pt>
                <c:pt idx="16">
                  <c:v>7.7697159043835534E-2</c:v>
                </c:pt>
                <c:pt idx="17">
                  <c:v>0.6962473055742926</c:v>
                </c:pt>
                <c:pt idx="18">
                  <c:v>9.6744309233964071E-2</c:v>
                </c:pt>
                <c:pt idx="19">
                  <c:v>0.25775679506190979</c:v>
                </c:pt>
                <c:pt idx="20">
                  <c:v>0.20088572973953026</c:v>
                </c:pt>
                <c:pt idx="21">
                  <c:v>0.18462915792409548</c:v>
                </c:pt>
                <c:pt idx="22">
                  <c:v>6.1560897541901992E-2</c:v>
                </c:pt>
                <c:pt idx="23">
                  <c:v>0.13478496185245398</c:v>
                </c:pt>
                <c:pt idx="24">
                  <c:v>0.10319675790112562</c:v>
                </c:pt>
                <c:pt idx="25">
                  <c:v>0.53457900326987551</c:v>
                </c:pt>
                <c:pt idx="26">
                  <c:v>0.51952948938722154</c:v>
                </c:pt>
                <c:pt idx="27">
                  <c:v>0.25570439464709749</c:v>
                </c:pt>
                <c:pt idx="28">
                  <c:v>7.4797124015817701E-2</c:v>
                </c:pt>
                <c:pt idx="29">
                  <c:v>0.14873496829751096</c:v>
                </c:pt>
                <c:pt idx="30">
                  <c:v>5.4153898332389039E-2</c:v>
                </c:pt>
                <c:pt idx="31">
                  <c:v>7.6806143078692643E-2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E9-401C-9B7C-48553C8DC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Actual sales and the forecast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22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Data!$B$43:$B$70</c:f>
              <c:numCache>
                <c:formatCode>mmm\ yyyy</c:formatCode>
                <c:ptCount val="2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</c:numCache>
            </c:numRef>
          </c:xVal>
          <c:yVal>
            <c:numRef>
              <c:f>Data!$C$43:$C$70</c:f>
              <c:numCache>
                <c:formatCode>\$#,##0;\-\$#,##0;"-"</c:formatCode>
                <c:ptCount val="28"/>
                <c:pt idx="0">
                  <c:v>113670.3201682568</c:v>
                </c:pt>
                <c:pt idx="1">
                  <c:v>98015.390212059021</c:v>
                </c:pt>
                <c:pt idx="2">
                  <c:v>119287.8302438259</c:v>
                </c:pt>
                <c:pt idx="3">
                  <c:v>113637.6201777458</c:v>
                </c:pt>
                <c:pt idx="4">
                  <c:v>119652.1701276302</c:v>
                </c:pt>
                <c:pt idx="5">
                  <c:v>133353.570147872</c:v>
                </c:pt>
                <c:pt idx="6">
                  <c:v>137325.9301383495</c:v>
                </c:pt>
                <c:pt idx="7">
                  <c:v>142612.7901010513</c:v>
                </c:pt>
                <c:pt idx="8">
                  <c:v>137519.58025622371</c:v>
                </c:pt>
                <c:pt idx="9">
                  <c:v>152485.03018927571</c:v>
                </c:pt>
                <c:pt idx="10">
                  <c:v>155504.0401403904</c:v>
                </c:pt>
                <c:pt idx="11">
                  <c:v>160734.2702050395</c:v>
                </c:pt>
                <c:pt idx="12">
                  <c:v>188680.17009925839</c:v>
                </c:pt>
                <c:pt idx="13">
                  <c:v>167409.8501970768</c:v>
                </c:pt>
                <c:pt idx="14">
                  <c:v>184777.90021240711</c:v>
                </c:pt>
                <c:pt idx="15">
                  <c:v>193149.96007275581</c:v>
                </c:pt>
                <c:pt idx="16">
                  <c:v>209624.34030818939</c:v>
                </c:pt>
                <c:pt idx="17">
                  <c:v>205503.24020504949</c:v>
                </c:pt>
                <c:pt idx="18">
                  <c:v>232777.6403400898</c:v>
                </c:pt>
                <c:pt idx="19">
                  <c:v>246129.77018761629</c:v>
                </c:pt>
                <c:pt idx="20">
                  <c:v>261138.52030706409</c:v>
                </c:pt>
                <c:pt idx="21">
                  <c:v>279981.62028169632</c:v>
                </c:pt>
                <c:pt idx="22">
                  <c:v>298467.6802778244</c:v>
                </c:pt>
                <c:pt idx="23">
                  <c:v>326301.66045475012</c:v>
                </c:pt>
                <c:pt idx="24">
                  <c:v>348737.74029840901</c:v>
                </c:pt>
                <c:pt idx="25">
                  <c:v>381972.60026504472</c:v>
                </c:pt>
                <c:pt idx="26">
                  <c:v>441334.21046054357</c:v>
                </c:pt>
                <c:pt idx="27">
                  <c:v>550157.88051688671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0-4EBC-AD3C-713B45B8540F}"/>
            </c:ext>
          </c:extLst>
        </c:ser>
        <c:ser>
          <c:idx val="1"/>
          <c:order val="1"/>
          <c:tx>
            <c:v>Forecast (chosen)</c:v>
          </c:tx>
          <c:spPr>
            <a:ln w="22000">
              <a:solidFill>
                <a:srgbClr val="2F5597"/>
              </a:solidFill>
              <a:prstDash val="solid"/>
            </a:ln>
          </c:spPr>
          <c:marker>
            <c:symbol val="none"/>
          </c:marker>
          <c:xVal>
            <c:numRef>
              <c:f>Forecast!$B$14:$B$21</c:f>
              <c:numCache>
                <c:formatCode>mmm\ yyyy</c:formatCode>
                <c:ptCount val="8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</c:numCache>
            </c:numRef>
          </c:xVal>
          <c:yVal>
            <c:numRef>
              <c:f>Forecast!$H$14:$H$21</c:f>
              <c:numCache>
                <c:formatCode>\$#,##0;\-\$#,##0;"-"</c:formatCode>
                <c:ptCount val="8"/>
                <c:pt idx="0">
                  <c:v>524060.85077047348</c:v>
                </c:pt>
                <c:pt idx="1">
                  <c:v>513758.10051262373</c:v>
                </c:pt>
                <c:pt idx="2">
                  <c:v>581944.10085022449</c:v>
                </c:pt>
                <c:pt idx="3">
                  <c:v>615324.42546904075</c:v>
                </c:pt>
                <c:pt idx="4">
                  <c:v>652846.30076766026</c:v>
                </c:pt>
                <c:pt idx="5">
                  <c:v>699954.0507042408</c:v>
                </c:pt>
                <c:pt idx="6">
                  <c:v>746169.200694561</c:v>
                </c:pt>
                <c:pt idx="7">
                  <c:v>815754.15113687527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60-4EBC-AD3C-713B45B8540F}"/>
            </c:ext>
          </c:extLst>
        </c:ser>
        <c:ser>
          <c:idx val="2"/>
          <c:order val="2"/>
          <c:tx>
            <c:v>Drift without the clip</c:v>
          </c:tx>
          <c:spPr>
            <a:ln w="22000">
              <a:solidFill>
                <a:srgbClr val="7030A0"/>
              </a:solidFill>
              <a:prstDash val="dash"/>
            </a:ln>
          </c:spPr>
          <c:marker>
            <c:symbol val="none"/>
          </c:marker>
          <c:xVal>
            <c:numRef>
              <c:f>Forecast!$B$14:$B$21</c:f>
              <c:numCache>
                <c:formatCode>mmm\ yyyy</c:formatCode>
                <c:ptCount val="8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</c:numCache>
            </c:numRef>
          </c:xVal>
          <c:yVal>
            <c:numRef>
              <c:f>Forecast!$I$14:$I$21</c:f>
              <c:numCache>
                <c:formatCode>\$#,##0;\-\$#,##0;"-"</c:formatCode>
                <c:ptCount val="8"/>
                <c:pt idx="0">
                  <c:v>597082.61252170498</c:v>
                </c:pt>
                <c:pt idx="1">
                  <c:v>585344.29428810382</c:v>
                </c:pt>
                <c:pt idx="2">
                  <c:v>663031.2177801464</c:v>
                </c:pt>
                <c:pt idx="3">
                  <c:v>701062.70095795509</c:v>
                </c:pt>
                <c:pt idx="4">
                  <c:v>743812.81155498896</c:v>
                </c:pt>
                <c:pt idx="5">
                  <c:v>797484.47651679651</c:v>
                </c:pt>
                <c:pt idx="6">
                  <c:v>850139.1681499033</c:v>
                </c:pt>
                <c:pt idx="7">
                  <c:v>929419.96911262861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60-4EBC-AD3C-713B45B85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crossAx val="20"/>
        <c:crosses val="autoZero"/>
        <c:crossBetween val="midCat"/>
        <c:majorUnit val="91"/>
      </c:valAx>
      <c:valAx>
        <c:axId val="2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Scenarios: 8-month net sales and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Scenarios!$C$21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Scenarios!$B$22:$B$24</c:f>
              <c:strCache>
                <c:ptCount val="3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</c:strCache>
            </c:strRef>
          </c:cat>
          <c:val>
            <c:numRef>
              <c:f>Scenarios!$C$22:$C$24</c:f>
              <c:numCache>
                <c:formatCode>\$#,##0;\-\$#,##0;"-"</c:formatCode>
                <c:ptCount val="3"/>
                <c:pt idx="0">
                  <c:v>5149811.1809056997</c:v>
                </c:pt>
                <c:pt idx="1">
                  <c:v>5664792.2989962697</c:v>
                </c:pt>
                <c:pt idx="2">
                  <c:v>4634830.0628151298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6-4001-B9F2-680AB3A54122}"/>
            </c:ext>
          </c:extLst>
        </c:ser>
        <c:ser>
          <c:idx val="1"/>
          <c:order val="1"/>
          <c:tx>
            <c:strRef>
              <c:f>Scenarios!$D$21</c:f>
              <c:strCache>
                <c:ptCount val="1"/>
                <c:pt idx="0">
                  <c:v>Net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Scenarios!$B$22:$B$24</c:f>
              <c:strCache>
                <c:ptCount val="3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</c:strCache>
            </c:strRef>
          </c:cat>
          <c:val>
            <c:numRef>
              <c:f>Scenarios!$D$22:$D$24</c:f>
              <c:numCache>
                <c:formatCode>\$#,##0;\-\$#,##0;"-"</c:formatCode>
                <c:ptCount val="3"/>
                <c:pt idx="0">
                  <c:v>2670124.6990839904</c:v>
                </c:pt>
                <c:pt idx="1">
                  <c:v>2965461.1304873708</c:v>
                </c:pt>
                <c:pt idx="2">
                  <c:v>2310415.6279192888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6-4001-B9F2-680AB3A54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Plan, actual and forecast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Plan</c:v>
          </c:tx>
          <c:spPr>
            <a:ln w="22000">
              <a:solidFill>
                <a:srgbClr val="A5A5A5"/>
              </a:solidFill>
              <a:prstDash val="dash"/>
            </a:ln>
          </c:spPr>
          <c:marker>
            <c:symbol val="none"/>
          </c:marker>
          <c:xVal>
            <c:numRef>
              <c:f>VsPlan!$B$7:$B$30</c:f>
              <c:numCache>
                <c:formatCode>mmm\ 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xVal>
          <c:yVal>
            <c:numRef>
              <c:f>VsPlan!$C$7:$C$30</c:f>
              <c:numCache>
                <c:formatCode>\$#,##0;\-\$#,##0;"-"</c:formatCode>
                <c:ptCount val="24"/>
                <c:pt idx="0">
                  <c:v>203999.9976155</c:v>
                </c:pt>
                <c:pt idx="1">
                  <c:v>176999.99879300001</c:v>
                </c:pt>
                <c:pt idx="2">
                  <c:v>214899.99922600001</c:v>
                </c:pt>
                <c:pt idx="3">
                  <c:v>204899.9942285</c:v>
                </c:pt>
                <c:pt idx="4">
                  <c:v>212400.0083705</c:v>
                </c:pt>
                <c:pt idx="5">
                  <c:v>239999.99922600001</c:v>
                </c:pt>
                <c:pt idx="6">
                  <c:v>248500.00721499999</c:v>
                </c:pt>
                <c:pt idx="7">
                  <c:v>245299.99780899999</c:v>
                </c:pt>
                <c:pt idx="8">
                  <c:v>248499.99841350011</c:v>
                </c:pt>
                <c:pt idx="9">
                  <c:v>275900.0041885</c:v>
                </c:pt>
                <c:pt idx="10">
                  <c:v>287400.02060250012</c:v>
                </c:pt>
                <c:pt idx="11">
                  <c:v>301899.99321049999</c:v>
                </c:pt>
                <c:pt idx="12">
                  <c:v>350599.99439900002</c:v>
                </c:pt>
                <c:pt idx="13">
                  <c:v>303100.0016055</c:v>
                </c:pt>
                <c:pt idx="14">
                  <c:v>343300.00418450002</c:v>
                </c:pt>
                <c:pt idx="15">
                  <c:v>359799.983182</c:v>
                </c:pt>
                <c:pt idx="16">
                  <c:v>388400.00877050002</c:v>
                </c:pt>
                <c:pt idx="17">
                  <c:v>382199.99457949999</c:v>
                </c:pt>
                <c:pt idx="18">
                  <c:v>432400.00898899999</c:v>
                </c:pt>
                <c:pt idx="19">
                  <c:v>456599.99738750007</c:v>
                </c:pt>
                <c:pt idx="20">
                  <c:v>462599.99663250003</c:v>
                </c:pt>
                <c:pt idx="21">
                  <c:v>520199.98601950012</c:v>
                </c:pt>
                <c:pt idx="22">
                  <c:v>583899.99102999992</c:v>
                </c:pt>
                <c:pt idx="23">
                  <c:v>637499.99497849995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C3-4B0C-88BA-F7BBCD1DD33B}"/>
            </c:ext>
          </c:extLst>
        </c:ser>
        <c:ser>
          <c:idx val="1"/>
          <c:order val="1"/>
          <c:tx>
            <c:v>Actual</c:v>
          </c:tx>
          <c:spPr>
            <a:ln w="22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VsPlan!$B$7:$B$22</c:f>
              <c:numCache>
                <c:formatCode>mmm\ yyyy</c:formatCode>
                <c:ptCount val="16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</c:numCache>
            </c:numRef>
          </c:xVal>
          <c:yVal>
            <c:numRef>
              <c:f>VsPlan!$D$7:$D$22</c:f>
              <c:numCache>
                <c:formatCode>\$#,##0;\-\$#,##0;"-"</c:formatCode>
                <c:ptCount val="16"/>
                <c:pt idx="0">
                  <c:v>188680.17009925839</c:v>
                </c:pt>
                <c:pt idx="1">
                  <c:v>167409.8501970768</c:v>
                </c:pt>
                <c:pt idx="2">
                  <c:v>184777.90021240711</c:v>
                </c:pt>
                <c:pt idx="3">
                  <c:v>193149.96007275581</c:v>
                </c:pt>
                <c:pt idx="4">
                  <c:v>209624.34030818939</c:v>
                </c:pt>
                <c:pt idx="5">
                  <c:v>205503.24020504949</c:v>
                </c:pt>
                <c:pt idx="6">
                  <c:v>232777.6403400898</c:v>
                </c:pt>
                <c:pt idx="7">
                  <c:v>246129.77018761629</c:v>
                </c:pt>
                <c:pt idx="8">
                  <c:v>261138.52030706409</c:v>
                </c:pt>
                <c:pt idx="9">
                  <c:v>279981.62028169632</c:v>
                </c:pt>
                <c:pt idx="10">
                  <c:v>298467.6802778244</c:v>
                </c:pt>
                <c:pt idx="11">
                  <c:v>326301.66045475012</c:v>
                </c:pt>
                <c:pt idx="12">
                  <c:v>348737.74029840901</c:v>
                </c:pt>
                <c:pt idx="13">
                  <c:v>381972.60026504472</c:v>
                </c:pt>
                <c:pt idx="14">
                  <c:v>441334.21046054357</c:v>
                </c:pt>
                <c:pt idx="15">
                  <c:v>550157.88051688671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C3-4B0C-88BA-F7BBCD1DD33B}"/>
            </c:ext>
          </c:extLst>
        </c:ser>
        <c:ser>
          <c:idx val="2"/>
          <c:order val="2"/>
          <c:tx>
            <c:v>Forecast</c:v>
          </c:tx>
          <c:spPr>
            <a:ln w="22000">
              <a:solidFill>
                <a:srgbClr val="2F5597"/>
              </a:solidFill>
              <a:prstDash val="solid"/>
            </a:ln>
          </c:spPr>
          <c:marker>
            <c:symbol val="none"/>
          </c:marker>
          <c:xVal>
            <c:numRef>
              <c:f>VsPlan!$B$23:$B$30</c:f>
              <c:numCache>
                <c:formatCode>mmm\ yyyy</c:formatCode>
                <c:ptCount val="8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</c:numCache>
            </c:numRef>
          </c:xVal>
          <c:yVal>
            <c:numRef>
              <c:f>VsPlan!$E$23:$E$30</c:f>
              <c:numCache>
                <c:formatCode>\$#,##0;\-\$#,##0;"-"</c:formatCode>
                <c:ptCount val="8"/>
                <c:pt idx="0">
                  <c:v>524060.85077047348</c:v>
                </c:pt>
                <c:pt idx="1">
                  <c:v>513758.10051262373</c:v>
                </c:pt>
                <c:pt idx="2">
                  <c:v>581944.10085022449</c:v>
                </c:pt>
                <c:pt idx="3">
                  <c:v>615324.42546904075</c:v>
                </c:pt>
                <c:pt idx="4">
                  <c:v>652846.30076766026</c:v>
                </c:pt>
                <c:pt idx="5">
                  <c:v>699954.0507042408</c:v>
                </c:pt>
                <c:pt idx="6">
                  <c:v>746169.200694561</c:v>
                </c:pt>
                <c:pt idx="7">
                  <c:v>815754.15113687527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C3-4B0C-88BA-F7BBCD1DD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crossAx val="20"/>
        <c:crosses val="autoZero"/>
        <c:crossBetween val="midCat"/>
        <c:majorUnit val="91"/>
      </c:valAx>
      <c:valAx>
        <c:axId val="2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26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26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5A5A5"/>
  </sheetPr>
  <dimension ref="B1:E41"/>
  <sheetViews>
    <sheetView showGridLines="0" tabSelected="1" workbookViewId="0"/>
  </sheetViews>
  <sheetFormatPr defaultRowHeight="15" x14ac:dyDescent="0.25"/>
  <cols>
    <col min="1" max="1" width="3" customWidth="1"/>
    <col min="2" max="2" width="6" customWidth="1"/>
    <col min="3" max="3" width="18" customWidth="1"/>
    <col min="4" max="5" width="58" customWidth="1"/>
  </cols>
  <sheetData>
    <row r="1" spans="2:5" ht="20.25" x14ac:dyDescent="0.3">
      <c r="B1" s="1" t="s">
        <v>0</v>
      </c>
    </row>
    <row r="3" spans="2:5" x14ac:dyDescent="0.25">
      <c r="B3" s="2" t="s">
        <v>1</v>
      </c>
    </row>
    <row r="4" spans="2:5" x14ac:dyDescent="0.25">
      <c r="B4" s="2" t="s">
        <v>2</v>
      </c>
    </row>
    <row r="5" spans="2:5" x14ac:dyDescent="0.25">
      <c r="B5" s="2" t="s">
        <v>3</v>
      </c>
    </row>
    <row r="7" spans="2:5" x14ac:dyDescent="0.25">
      <c r="B7" s="3" t="s">
        <v>4</v>
      </c>
    </row>
    <row r="8" spans="2:5" ht="20.100000000000001" customHeight="1" x14ac:dyDescent="0.25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25">
      <c r="B9" s="5" t="s">
        <v>9</v>
      </c>
      <c r="C9" s="6" t="s">
        <v>10</v>
      </c>
      <c r="D9" s="5" t="s">
        <v>11</v>
      </c>
      <c r="E9" s="5" t="s">
        <v>12</v>
      </c>
    </row>
    <row r="10" spans="2:5" x14ac:dyDescent="0.25">
      <c r="B10" s="5" t="s">
        <v>13</v>
      </c>
      <c r="C10" s="6" t="s">
        <v>14</v>
      </c>
      <c r="D10" s="5" t="s">
        <v>15</v>
      </c>
      <c r="E10" s="5" t="s">
        <v>16</v>
      </c>
    </row>
    <row r="11" spans="2:5" ht="25.5" x14ac:dyDescent="0.25">
      <c r="B11" s="5" t="s">
        <v>17</v>
      </c>
      <c r="C11" s="6" t="s">
        <v>18</v>
      </c>
      <c r="D11" s="5" t="s">
        <v>19</v>
      </c>
      <c r="E11" s="5" t="s">
        <v>20</v>
      </c>
    </row>
    <row r="12" spans="2:5" x14ac:dyDescent="0.25">
      <c r="B12" s="5" t="s">
        <v>21</v>
      </c>
      <c r="C12" s="6" t="s">
        <v>22</v>
      </c>
      <c r="D12" s="5" t="s">
        <v>23</v>
      </c>
      <c r="E12" s="5" t="s">
        <v>24</v>
      </c>
    </row>
    <row r="13" spans="2:5" x14ac:dyDescent="0.25">
      <c r="B13" s="5" t="s">
        <v>25</v>
      </c>
      <c r="C13" s="6" t="s">
        <v>26</v>
      </c>
      <c r="D13" s="5" t="s">
        <v>27</v>
      </c>
      <c r="E13" s="5" t="s">
        <v>28</v>
      </c>
    </row>
    <row r="14" spans="2:5" x14ac:dyDescent="0.25">
      <c r="B14" s="5" t="s">
        <v>29</v>
      </c>
      <c r="C14" s="6" t="s">
        <v>30</v>
      </c>
      <c r="D14" s="5" t="s">
        <v>31</v>
      </c>
      <c r="E14" s="5" t="s">
        <v>32</v>
      </c>
    </row>
    <row r="15" spans="2:5" x14ac:dyDescent="0.25">
      <c r="B15" s="5" t="s">
        <v>33</v>
      </c>
      <c r="C15" s="6" t="s">
        <v>34</v>
      </c>
      <c r="D15" s="5" t="s">
        <v>35</v>
      </c>
      <c r="E15" s="5" t="s">
        <v>36</v>
      </c>
    </row>
    <row r="16" spans="2:5" x14ac:dyDescent="0.25">
      <c r="B16" s="5" t="s">
        <v>37</v>
      </c>
      <c r="C16" s="6" t="s">
        <v>38</v>
      </c>
      <c r="D16" s="5" t="s">
        <v>39</v>
      </c>
      <c r="E16" s="5" t="s">
        <v>40</v>
      </c>
    </row>
    <row r="17" spans="2:5" x14ac:dyDescent="0.25">
      <c r="B17" s="5" t="s">
        <v>41</v>
      </c>
      <c r="C17" s="6" t="s">
        <v>42</v>
      </c>
      <c r="D17" s="5" t="s">
        <v>43</v>
      </c>
      <c r="E17" s="5" t="s">
        <v>44</v>
      </c>
    </row>
    <row r="18" spans="2:5" x14ac:dyDescent="0.25">
      <c r="B18" s="5" t="s">
        <v>45</v>
      </c>
      <c r="C18" s="6" t="s">
        <v>46</v>
      </c>
      <c r="D18" s="5" t="s">
        <v>47</v>
      </c>
      <c r="E18" s="5" t="s">
        <v>48</v>
      </c>
    </row>
    <row r="19" spans="2:5" x14ac:dyDescent="0.25">
      <c r="B19" s="5" t="s">
        <v>49</v>
      </c>
      <c r="C19" s="6" t="s">
        <v>50</v>
      </c>
      <c r="D19" s="5" t="s">
        <v>51</v>
      </c>
      <c r="E19" s="5" t="s">
        <v>52</v>
      </c>
    </row>
    <row r="20" spans="2:5" ht="25.5" x14ac:dyDescent="0.25">
      <c r="B20" s="5" t="s">
        <v>53</v>
      </c>
      <c r="C20" s="6" t="s">
        <v>54</v>
      </c>
      <c r="D20" s="5" t="s">
        <v>55</v>
      </c>
      <c r="E20" s="5" t="s">
        <v>56</v>
      </c>
    </row>
    <row r="21" spans="2:5" x14ac:dyDescent="0.25">
      <c r="B21" s="5" t="s">
        <v>57</v>
      </c>
      <c r="C21" s="6" t="s">
        <v>58</v>
      </c>
      <c r="D21" s="5" t="s">
        <v>59</v>
      </c>
      <c r="E21" s="5" t="s">
        <v>60</v>
      </c>
    </row>
    <row r="23" spans="2:5" x14ac:dyDescent="0.25">
      <c r="B23" s="3" t="s">
        <v>61</v>
      </c>
    </row>
    <row r="24" spans="2:5" x14ac:dyDescent="0.25">
      <c r="C24" s="7" t="s">
        <v>62</v>
      </c>
      <c r="D24" s="2" t="s">
        <v>63</v>
      </c>
    </row>
    <row r="25" spans="2:5" x14ac:dyDescent="0.25">
      <c r="C25" s="8" t="s">
        <v>64</v>
      </c>
      <c r="D25" s="2" t="s">
        <v>65</v>
      </c>
    </row>
    <row r="26" spans="2:5" x14ac:dyDescent="0.25">
      <c r="C26" s="9" t="s">
        <v>66</v>
      </c>
      <c r="D26" s="2" t="s">
        <v>67</v>
      </c>
    </row>
    <row r="27" spans="2:5" x14ac:dyDescent="0.25">
      <c r="C27" s="10" t="s">
        <v>68</v>
      </c>
      <c r="D27" s="2" t="s">
        <v>69</v>
      </c>
    </row>
    <row r="28" spans="2:5" x14ac:dyDescent="0.25">
      <c r="C28" s="11" t="s">
        <v>70</v>
      </c>
      <c r="D28" s="2" t="s">
        <v>71</v>
      </c>
    </row>
    <row r="29" spans="2:5" x14ac:dyDescent="0.25">
      <c r="C29" s="12" t="s">
        <v>72</v>
      </c>
      <c r="D29" s="2" t="s">
        <v>73</v>
      </c>
    </row>
    <row r="31" spans="2:5" x14ac:dyDescent="0.25">
      <c r="B31" s="3" t="s">
        <v>74</v>
      </c>
    </row>
    <row r="32" spans="2:5" x14ac:dyDescent="0.25">
      <c r="C32" s="2" t="s">
        <v>75</v>
      </c>
      <c r="D32" s="2" t="s">
        <v>76</v>
      </c>
    </row>
    <row r="33" spans="2:4" x14ac:dyDescent="0.25">
      <c r="C33" s="2" t="s">
        <v>77</v>
      </c>
      <c r="D33" s="2" t="s">
        <v>78</v>
      </c>
    </row>
    <row r="34" spans="2:4" x14ac:dyDescent="0.25">
      <c r="C34" s="2" t="s">
        <v>79</v>
      </c>
      <c r="D34" s="2" t="s">
        <v>80</v>
      </c>
    </row>
    <row r="35" spans="2:4" x14ac:dyDescent="0.25">
      <c r="C35" s="2" t="s">
        <v>81</v>
      </c>
      <c r="D35" s="2" t="s">
        <v>82</v>
      </c>
    </row>
    <row r="37" spans="2:4" x14ac:dyDescent="0.25">
      <c r="B37" s="3" t="s">
        <v>83</v>
      </c>
    </row>
    <row r="38" spans="2:4" x14ac:dyDescent="0.25">
      <c r="C38" s="2" t="s">
        <v>84</v>
      </c>
      <c r="D38" s="2" t="s">
        <v>85</v>
      </c>
    </row>
    <row r="39" spans="2:4" x14ac:dyDescent="0.25">
      <c r="C39" s="2" t="s">
        <v>84</v>
      </c>
      <c r="D39" s="2" t="s">
        <v>86</v>
      </c>
    </row>
    <row r="40" spans="2:4" x14ac:dyDescent="0.25">
      <c r="C40" s="2" t="s">
        <v>84</v>
      </c>
      <c r="D40" s="2" t="s">
        <v>87</v>
      </c>
    </row>
    <row r="41" spans="2:4" x14ac:dyDescent="0.25">
      <c r="C41" s="2" t="s">
        <v>84</v>
      </c>
      <c r="D41" s="2" t="s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F7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5" customWidth="1"/>
    <col min="4" max="6" width="14" customWidth="1"/>
  </cols>
  <sheetData>
    <row r="1" spans="1:6" ht="18" x14ac:dyDescent="0.25">
      <c r="A1" s="13" t="s">
        <v>89</v>
      </c>
    </row>
    <row r="2" spans="1:6" x14ac:dyDescent="0.25">
      <c r="A2" s="14" t="s">
        <v>90</v>
      </c>
    </row>
    <row r="3" spans="1:6" x14ac:dyDescent="0.25">
      <c r="A3" s="14" t="s">
        <v>91</v>
      </c>
    </row>
    <row r="5" spans="1:6" ht="48" customHeight="1" x14ac:dyDescent="0.25">
      <c r="A5" s="15" t="s">
        <v>92</v>
      </c>
      <c r="B5" s="15" t="s">
        <v>93</v>
      </c>
      <c r="C5" s="15" t="s">
        <v>94</v>
      </c>
      <c r="D5" s="15" t="s">
        <v>95</v>
      </c>
      <c r="E5" s="15" t="s">
        <v>96</v>
      </c>
      <c r="F5" s="15" t="s">
        <v>97</v>
      </c>
    </row>
    <row r="6" spans="1:6" ht="30" customHeight="1" x14ac:dyDescent="0.25">
      <c r="A6" s="4" t="s">
        <v>98</v>
      </c>
      <c r="B6" s="4" t="s">
        <v>99</v>
      </c>
      <c r="C6" s="4" t="s">
        <v>100</v>
      </c>
      <c r="D6" s="4" t="s">
        <v>101</v>
      </c>
      <c r="E6" s="4" t="s">
        <v>102</v>
      </c>
      <c r="F6" s="4" t="s">
        <v>103</v>
      </c>
    </row>
    <row r="7" spans="1:6" x14ac:dyDescent="0.25">
      <c r="A7" s="8">
        <f t="shared" ref="A7:A38" si="0">ROW()-ROW($A$6)</f>
        <v>1</v>
      </c>
      <c r="B7" s="16">
        <v>43466</v>
      </c>
      <c r="C7" s="17">
        <v>1035.6399946212771</v>
      </c>
      <c r="D7" s="18">
        <v>0.54676844112720102</v>
      </c>
      <c r="E7" s="19">
        <f t="shared" ref="E7:E38" si="1">LN(C7)</f>
        <v>6.9427748668895548</v>
      </c>
      <c r="F7" s="20" t="str">
        <f t="shared" ref="F7:F38" si="2">IF(A7&gt;Season,C7/INDEX(Sales,A7-Season),"")</f>
        <v/>
      </c>
    </row>
    <row r="8" spans="1:6" x14ac:dyDescent="0.25">
      <c r="A8" s="8">
        <f t="shared" si="0"/>
        <v>2</v>
      </c>
      <c r="B8" s="16">
        <v>43497</v>
      </c>
      <c r="C8" s="17">
        <v>1826.2600069046021</v>
      </c>
      <c r="D8" s="18">
        <v>0.49390790442685922</v>
      </c>
      <c r="E8" s="19">
        <f t="shared" si="1"/>
        <v>7.5100254425322248</v>
      </c>
      <c r="F8" s="20" t="str">
        <f t="shared" si="2"/>
        <v/>
      </c>
    </row>
    <row r="9" spans="1:6" x14ac:dyDescent="0.25">
      <c r="A9" s="8">
        <f t="shared" si="0"/>
        <v>3</v>
      </c>
      <c r="B9" s="16">
        <v>43525</v>
      </c>
      <c r="C9" s="17">
        <v>5955.7299945354462</v>
      </c>
      <c r="D9" s="18">
        <v>0.52384017386292958</v>
      </c>
      <c r="E9" s="19">
        <f t="shared" si="1"/>
        <v>8.6921090594209467</v>
      </c>
      <c r="F9" s="20" t="str">
        <f t="shared" si="2"/>
        <v/>
      </c>
    </row>
    <row r="10" spans="1:6" x14ac:dyDescent="0.25">
      <c r="A10" s="8">
        <f t="shared" si="0"/>
        <v>4</v>
      </c>
      <c r="B10" s="16">
        <v>43556</v>
      </c>
      <c r="C10" s="17">
        <v>7347.1900215148926</v>
      </c>
      <c r="D10" s="18">
        <v>0.49674261346851722</v>
      </c>
      <c r="E10" s="19">
        <f t="shared" si="1"/>
        <v>8.90207320910981</v>
      </c>
      <c r="F10" s="20" t="str">
        <f t="shared" si="2"/>
        <v/>
      </c>
    </row>
    <row r="11" spans="1:6" x14ac:dyDescent="0.25">
      <c r="A11" s="8">
        <f t="shared" si="0"/>
        <v>5</v>
      </c>
      <c r="B11" s="16">
        <v>43586</v>
      </c>
      <c r="C11" s="17">
        <v>8589.6900062561035</v>
      </c>
      <c r="D11" s="18">
        <v>0.5326949178331416</v>
      </c>
      <c r="E11" s="19">
        <f t="shared" si="1"/>
        <v>9.0583179265804521</v>
      </c>
      <c r="F11" s="20" t="str">
        <f t="shared" si="2"/>
        <v/>
      </c>
    </row>
    <row r="12" spans="1:6" x14ac:dyDescent="0.25">
      <c r="A12" s="8">
        <f t="shared" si="0"/>
        <v>6</v>
      </c>
      <c r="B12" s="16">
        <v>43617</v>
      </c>
      <c r="C12" s="17">
        <v>10800.879998683929</v>
      </c>
      <c r="D12" s="18">
        <v>0.52208276057788361</v>
      </c>
      <c r="E12" s="19">
        <f t="shared" si="1"/>
        <v>9.2873828911525091</v>
      </c>
      <c r="F12" s="20" t="str">
        <f t="shared" si="2"/>
        <v/>
      </c>
    </row>
    <row r="13" spans="1:6" x14ac:dyDescent="0.25">
      <c r="A13" s="8">
        <f t="shared" si="0"/>
        <v>7</v>
      </c>
      <c r="B13" s="16">
        <v>43647</v>
      </c>
      <c r="C13" s="17">
        <v>13378.13003444672</v>
      </c>
      <c r="D13" s="18">
        <v>0.51199317393065846</v>
      </c>
      <c r="E13" s="19">
        <f t="shared" si="1"/>
        <v>9.5013765656525457</v>
      </c>
      <c r="F13" s="20" t="str">
        <f t="shared" si="2"/>
        <v/>
      </c>
    </row>
    <row r="14" spans="1:6" x14ac:dyDescent="0.25">
      <c r="A14" s="8">
        <f t="shared" si="0"/>
        <v>8</v>
      </c>
      <c r="B14" s="16">
        <v>43678</v>
      </c>
      <c r="C14" s="17">
        <v>15560.660058498381</v>
      </c>
      <c r="D14" s="18">
        <v>0.52667438150450119</v>
      </c>
      <c r="E14" s="19">
        <f t="shared" si="1"/>
        <v>9.6525012170446498</v>
      </c>
      <c r="F14" s="20" t="str">
        <f t="shared" si="2"/>
        <v/>
      </c>
    </row>
    <row r="15" spans="1:6" x14ac:dyDescent="0.25">
      <c r="A15" s="8">
        <f t="shared" si="0"/>
        <v>9</v>
      </c>
      <c r="B15" s="16">
        <v>43709</v>
      </c>
      <c r="C15" s="17">
        <v>16565.280012130741</v>
      </c>
      <c r="D15" s="18">
        <v>0.520043931126425</v>
      </c>
      <c r="E15" s="19">
        <f t="shared" si="1"/>
        <v>9.7150642184324045</v>
      </c>
      <c r="F15" s="20" t="str">
        <f t="shared" si="2"/>
        <v/>
      </c>
    </row>
    <row r="16" spans="1:6" x14ac:dyDescent="0.25">
      <c r="A16" s="8">
        <f t="shared" si="0"/>
        <v>10</v>
      </c>
      <c r="B16" s="16">
        <v>43739</v>
      </c>
      <c r="C16" s="17">
        <v>20219.630028504878</v>
      </c>
      <c r="D16" s="18">
        <v>0.52884584128768786</v>
      </c>
      <c r="E16" s="19">
        <f t="shared" si="1"/>
        <v>9.9144091951026567</v>
      </c>
      <c r="F16" s="20" t="str">
        <f t="shared" si="2"/>
        <v/>
      </c>
    </row>
    <row r="17" spans="1:6" x14ac:dyDescent="0.25">
      <c r="A17" s="8">
        <f t="shared" si="0"/>
        <v>11</v>
      </c>
      <c r="B17" s="16">
        <v>43770</v>
      </c>
      <c r="C17" s="17">
        <v>22429.330026626591</v>
      </c>
      <c r="D17" s="18">
        <v>0.51874836585369866</v>
      </c>
      <c r="E17" s="19">
        <f t="shared" si="1"/>
        <v>10.018124757546376</v>
      </c>
      <c r="F17" s="20" t="str">
        <f t="shared" si="2"/>
        <v/>
      </c>
    </row>
    <row r="18" spans="1:6" x14ac:dyDescent="0.25">
      <c r="A18" s="8">
        <f t="shared" si="0"/>
        <v>12</v>
      </c>
      <c r="B18" s="16">
        <v>43800</v>
      </c>
      <c r="C18" s="17">
        <v>24593.150034427639</v>
      </c>
      <c r="D18" s="18">
        <v>0.52347826970162092</v>
      </c>
      <c r="E18" s="19">
        <f t="shared" si="1"/>
        <v>10.110223229259917</v>
      </c>
      <c r="F18" s="20" t="str">
        <f t="shared" si="2"/>
        <v/>
      </c>
    </row>
    <row r="19" spans="1:6" x14ac:dyDescent="0.25">
      <c r="A19" s="8">
        <f t="shared" si="0"/>
        <v>13</v>
      </c>
      <c r="B19" s="16">
        <v>43831</v>
      </c>
      <c r="C19" s="17">
        <v>28926.909976959229</v>
      </c>
      <c r="D19" s="18">
        <v>0.5229175714605202</v>
      </c>
      <c r="E19" s="19">
        <f t="shared" si="1"/>
        <v>10.272527581928848</v>
      </c>
      <c r="F19" s="20">
        <f t="shared" si="2"/>
        <v>27.931433825648558</v>
      </c>
    </row>
    <row r="20" spans="1:6" x14ac:dyDescent="0.25">
      <c r="A20" s="8">
        <f t="shared" si="0"/>
        <v>14</v>
      </c>
      <c r="B20" s="16">
        <v>43862</v>
      </c>
      <c r="C20" s="17">
        <v>25472.470043897629</v>
      </c>
      <c r="D20" s="18">
        <v>0.51365148640243519</v>
      </c>
      <c r="E20" s="19">
        <f t="shared" si="1"/>
        <v>10.145353541830382</v>
      </c>
      <c r="F20" s="20">
        <f t="shared" si="2"/>
        <v>13.947888004770959</v>
      </c>
    </row>
    <row r="21" spans="1:6" x14ac:dyDescent="0.25">
      <c r="A21" s="8">
        <f t="shared" si="0"/>
        <v>15</v>
      </c>
      <c r="B21" s="16">
        <v>43891</v>
      </c>
      <c r="C21" s="17">
        <v>33801.990017652512</v>
      </c>
      <c r="D21" s="18">
        <v>0.51923528542625208</v>
      </c>
      <c r="E21" s="19">
        <f t="shared" si="1"/>
        <v>10.42827495599988</v>
      </c>
      <c r="F21" s="20">
        <f t="shared" si="2"/>
        <v>5.6755410417642862</v>
      </c>
    </row>
    <row r="22" spans="1:6" x14ac:dyDescent="0.25">
      <c r="A22" s="8">
        <f t="shared" si="0"/>
        <v>16</v>
      </c>
      <c r="B22" s="16">
        <v>43922</v>
      </c>
      <c r="C22" s="17">
        <v>34806.270035743713</v>
      </c>
      <c r="D22" s="18">
        <v>0.51944378483580611</v>
      </c>
      <c r="E22" s="19">
        <f t="shared" si="1"/>
        <v>10.457552822974192</v>
      </c>
      <c r="F22" s="20">
        <f t="shared" si="2"/>
        <v>4.7373580829977122</v>
      </c>
    </row>
    <row r="23" spans="1:6" x14ac:dyDescent="0.25">
      <c r="A23" s="8">
        <f t="shared" si="0"/>
        <v>17</v>
      </c>
      <c r="B23" s="16">
        <v>43952</v>
      </c>
      <c r="C23" s="17">
        <v>36725.070060968399</v>
      </c>
      <c r="D23" s="18">
        <v>0.51683501799487463</v>
      </c>
      <c r="E23" s="19">
        <f t="shared" si="1"/>
        <v>10.511214908758935</v>
      </c>
      <c r="F23" s="20">
        <f t="shared" si="2"/>
        <v>4.2754825883379421</v>
      </c>
    </row>
    <row r="24" spans="1:6" x14ac:dyDescent="0.25">
      <c r="A24" s="8">
        <f t="shared" si="0"/>
        <v>18</v>
      </c>
      <c r="B24" s="16">
        <v>43983</v>
      </c>
      <c r="C24" s="17">
        <v>36275.650037527077</v>
      </c>
      <c r="D24" s="18">
        <v>0.52195802934104008</v>
      </c>
      <c r="E24" s="19">
        <f t="shared" si="1"/>
        <v>10.498901997303124</v>
      </c>
      <c r="F24" s="20">
        <f t="shared" si="2"/>
        <v>3.358582823061381</v>
      </c>
    </row>
    <row r="25" spans="1:6" x14ac:dyDescent="0.25">
      <c r="A25" s="8">
        <f t="shared" si="0"/>
        <v>19</v>
      </c>
      <c r="B25" s="16">
        <v>44013</v>
      </c>
      <c r="C25" s="17">
        <v>44275.790027856827</v>
      </c>
      <c r="D25" s="18">
        <v>0.51809769945408291</v>
      </c>
      <c r="E25" s="19">
        <f t="shared" si="1"/>
        <v>10.698193306147553</v>
      </c>
      <c r="F25" s="20">
        <f t="shared" si="2"/>
        <v>3.3095649327561603</v>
      </c>
    </row>
    <row r="26" spans="1:6" x14ac:dyDescent="0.25">
      <c r="A26" s="8">
        <f t="shared" si="0"/>
        <v>20</v>
      </c>
      <c r="B26" s="16">
        <v>44044</v>
      </c>
      <c r="C26" s="17">
        <v>46063.200017929077</v>
      </c>
      <c r="D26" s="18">
        <v>0.51576653938608863</v>
      </c>
      <c r="E26" s="19">
        <f t="shared" si="1"/>
        <v>10.737769645949006</v>
      </c>
      <c r="F26" s="20">
        <f t="shared" si="2"/>
        <v>2.960234324556938</v>
      </c>
    </row>
    <row r="27" spans="1:6" x14ac:dyDescent="0.25">
      <c r="A27" s="8">
        <f t="shared" si="0"/>
        <v>21</v>
      </c>
      <c r="B27" s="16">
        <v>44075</v>
      </c>
      <c r="C27" s="17">
        <v>42591.050033092499</v>
      </c>
      <c r="D27" s="18">
        <v>0.51734097985430261</v>
      </c>
      <c r="E27" s="19">
        <f t="shared" si="1"/>
        <v>10.659399417064916</v>
      </c>
      <c r="F27" s="20">
        <f t="shared" si="2"/>
        <v>2.571103537151386</v>
      </c>
    </row>
    <row r="28" spans="1:6" x14ac:dyDescent="0.25">
      <c r="A28" s="8">
        <f t="shared" si="0"/>
        <v>22</v>
      </c>
      <c r="B28" s="16">
        <v>44105</v>
      </c>
      <c r="C28" s="17">
        <v>49207.389997005463</v>
      </c>
      <c r="D28" s="18">
        <v>0.51222322184941094</v>
      </c>
      <c r="E28" s="19">
        <f t="shared" si="1"/>
        <v>10.803799094392197</v>
      </c>
      <c r="F28" s="20">
        <f t="shared" si="2"/>
        <v>2.4336444300728908</v>
      </c>
    </row>
    <row r="29" spans="1:6" x14ac:dyDescent="0.25">
      <c r="A29" s="8">
        <f t="shared" si="0"/>
        <v>23</v>
      </c>
      <c r="B29" s="16">
        <v>44136</v>
      </c>
      <c r="C29" s="17">
        <v>54805.390057325363</v>
      </c>
      <c r="D29" s="18">
        <v>0.51432755845918132</v>
      </c>
      <c r="E29" s="19">
        <f t="shared" si="1"/>
        <v>10.911543826809522</v>
      </c>
      <c r="F29" s="20">
        <f t="shared" si="2"/>
        <v>2.4434697778428554</v>
      </c>
    </row>
    <row r="30" spans="1:6" x14ac:dyDescent="0.25">
      <c r="A30" s="8">
        <f t="shared" si="0"/>
        <v>24</v>
      </c>
      <c r="B30" s="16">
        <v>44166</v>
      </c>
      <c r="C30" s="17">
        <v>51901.930014848709</v>
      </c>
      <c r="D30" s="18">
        <v>0.5212172631409473</v>
      </c>
      <c r="E30" s="19">
        <f t="shared" si="1"/>
        <v>10.857111255646537</v>
      </c>
      <c r="F30" s="20">
        <f t="shared" si="2"/>
        <v>2.1104222087122575</v>
      </c>
    </row>
    <row r="31" spans="1:6" x14ac:dyDescent="0.25">
      <c r="A31" s="8">
        <f t="shared" si="0"/>
        <v>25</v>
      </c>
      <c r="B31" s="16">
        <v>44197</v>
      </c>
      <c r="C31" s="17">
        <v>61942.760003089898</v>
      </c>
      <c r="D31" s="18">
        <v>0.52072884143549325</v>
      </c>
      <c r="E31" s="19">
        <f t="shared" si="1"/>
        <v>11.033966011835231</v>
      </c>
      <c r="F31" s="20">
        <f t="shared" si="2"/>
        <v>2.1413541941544518</v>
      </c>
    </row>
    <row r="32" spans="1:6" x14ac:dyDescent="0.25">
      <c r="A32" s="8">
        <f t="shared" si="0"/>
        <v>26</v>
      </c>
      <c r="B32" s="16">
        <v>44228</v>
      </c>
      <c r="C32" s="17">
        <v>56663.070067644119</v>
      </c>
      <c r="D32" s="18">
        <v>0.51726260273325952</v>
      </c>
      <c r="E32" s="19">
        <f t="shared" si="1"/>
        <v>10.944877955955507</v>
      </c>
      <c r="F32" s="20">
        <f t="shared" si="2"/>
        <v>2.2244827443115884</v>
      </c>
    </row>
    <row r="33" spans="1:6" x14ac:dyDescent="0.25">
      <c r="A33" s="8">
        <f t="shared" si="0"/>
        <v>27</v>
      </c>
      <c r="B33" s="16">
        <v>44256</v>
      </c>
      <c r="C33" s="17">
        <v>60978.700088500977</v>
      </c>
      <c r="D33" s="18">
        <v>0.51880922410303176</v>
      </c>
      <c r="E33" s="19">
        <f t="shared" si="1"/>
        <v>11.018279903301275</v>
      </c>
      <c r="F33" s="20">
        <f t="shared" si="2"/>
        <v>1.8039973402943403</v>
      </c>
    </row>
    <row r="34" spans="1:6" x14ac:dyDescent="0.25">
      <c r="A34" s="8">
        <f t="shared" si="0"/>
        <v>28</v>
      </c>
      <c r="B34" s="16">
        <v>44287</v>
      </c>
      <c r="C34" s="17">
        <v>70861.690135478973</v>
      </c>
      <c r="D34" s="18">
        <v>0.5178047123077536</v>
      </c>
      <c r="E34" s="19">
        <f t="shared" si="1"/>
        <v>11.168485229891703</v>
      </c>
      <c r="F34" s="20">
        <f t="shared" si="2"/>
        <v>2.035888650599698</v>
      </c>
    </row>
    <row r="35" spans="1:6" x14ac:dyDescent="0.25">
      <c r="A35" s="8">
        <f t="shared" si="0"/>
        <v>29</v>
      </c>
      <c r="B35" s="16">
        <v>44317</v>
      </c>
      <c r="C35" s="17">
        <v>74001.790117025375</v>
      </c>
      <c r="D35" s="18">
        <v>0.51875983893757061</v>
      </c>
      <c r="E35" s="19">
        <f t="shared" si="1"/>
        <v>11.211844562664329</v>
      </c>
      <c r="F35" s="20">
        <f t="shared" si="2"/>
        <v>2.0150210740012957</v>
      </c>
    </row>
    <row r="36" spans="1:6" x14ac:dyDescent="0.25">
      <c r="A36" s="8">
        <f t="shared" si="0"/>
        <v>30</v>
      </c>
      <c r="B36" s="16">
        <v>44348</v>
      </c>
      <c r="C36" s="17">
        <v>74855.450057983398</v>
      </c>
      <c r="D36" s="18">
        <v>0.52011364733878018</v>
      </c>
      <c r="E36" s="19">
        <f t="shared" si="1"/>
        <v>11.223314200262942</v>
      </c>
      <c r="F36" s="20">
        <f t="shared" si="2"/>
        <v>2.0635178137551113</v>
      </c>
    </row>
    <row r="37" spans="1:6" x14ac:dyDescent="0.25">
      <c r="A37" s="8">
        <f t="shared" si="0"/>
        <v>31</v>
      </c>
      <c r="B37" s="16">
        <v>44378</v>
      </c>
      <c r="C37" s="17">
        <v>80016.69003367424</v>
      </c>
      <c r="D37" s="18">
        <v>0.51722273303097099</v>
      </c>
      <c r="E37" s="19">
        <f t="shared" si="1"/>
        <v>11.28999051731769</v>
      </c>
      <c r="F37" s="20">
        <f t="shared" si="2"/>
        <v>1.807233478687347</v>
      </c>
    </row>
    <row r="38" spans="1:6" x14ac:dyDescent="0.25">
      <c r="A38" s="8">
        <f t="shared" si="0"/>
        <v>32</v>
      </c>
      <c r="B38" s="16">
        <v>44409</v>
      </c>
      <c r="C38" s="17">
        <v>80303.24014878273</v>
      </c>
      <c r="D38" s="18">
        <v>0.51996650328950333</v>
      </c>
      <c r="E38" s="19">
        <f t="shared" si="1"/>
        <v>11.293565249666031</v>
      </c>
      <c r="F38" s="20">
        <f t="shared" si="2"/>
        <v>1.7433274309541342</v>
      </c>
    </row>
    <row r="39" spans="1:6" x14ac:dyDescent="0.25">
      <c r="A39" s="8">
        <f t="shared" ref="A39:A70" si="3">ROW()-ROW($A$6)</f>
        <v>33</v>
      </c>
      <c r="B39" s="16">
        <v>44440</v>
      </c>
      <c r="C39" s="17">
        <v>84924.860115528107</v>
      </c>
      <c r="D39" s="18">
        <v>0.51350537258691487</v>
      </c>
      <c r="E39" s="19">
        <f t="shared" ref="E39:E70" si="4">LN(C39)</f>
        <v>11.349522145874388</v>
      </c>
      <c r="F39" s="20">
        <f t="shared" ref="F39:F70" si="5">IF(A39&gt;Season,C39/INDEX(Sales,A39-Season),"")</f>
        <v>1.9939602345925489</v>
      </c>
    </row>
    <row r="40" spans="1:6" x14ac:dyDescent="0.25">
      <c r="A40" s="8">
        <f t="shared" si="3"/>
        <v>34</v>
      </c>
      <c r="B40" s="16">
        <v>44470</v>
      </c>
      <c r="C40" s="17">
        <v>91275.620025634766</v>
      </c>
      <c r="D40" s="18">
        <v>0.51895016413565964</v>
      </c>
      <c r="E40" s="19">
        <f t="shared" si="4"/>
        <v>11.421638999441162</v>
      </c>
      <c r="F40" s="20">
        <f t="shared" si="5"/>
        <v>1.8549169145364017</v>
      </c>
    </row>
    <row r="41" spans="1:6" x14ac:dyDescent="0.25">
      <c r="A41" s="8">
        <f t="shared" si="3"/>
        <v>35</v>
      </c>
      <c r="B41" s="16">
        <v>44501</v>
      </c>
      <c r="C41" s="17">
        <v>94327.220094442368</v>
      </c>
      <c r="D41" s="18">
        <v>0.5242687104654512</v>
      </c>
      <c r="E41" s="19">
        <f t="shared" si="4"/>
        <v>11.454525081204798</v>
      </c>
      <c r="F41" s="20">
        <f t="shared" si="5"/>
        <v>1.7211303485985219</v>
      </c>
    </row>
    <row r="42" spans="1:6" x14ac:dyDescent="0.25">
      <c r="A42" s="8">
        <f t="shared" si="3"/>
        <v>36</v>
      </c>
      <c r="B42" s="16">
        <v>44531</v>
      </c>
      <c r="C42" s="17">
        <v>95950.710146665573</v>
      </c>
      <c r="D42" s="18">
        <v>0.51455576018148086</v>
      </c>
      <c r="E42" s="19">
        <f t="shared" si="4"/>
        <v>11.471589902624357</v>
      </c>
      <c r="F42" s="20">
        <f t="shared" si="5"/>
        <v>1.8486925268331038</v>
      </c>
    </row>
    <row r="43" spans="1:6" x14ac:dyDescent="0.25">
      <c r="A43" s="8">
        <f t="shared" si="3"/>
        <v>37</v>
      </c>
      <c r="B43" s="16">
        <v>44562</v>
      </c>
      <c r="C43" s="17">
        <v>113670.3201682568</v>
      </c>
      <c r="D43" s="18">
        <v>0.52170778316185096</v>
      </c>
      <c r="E43" s="19">
        <f t="shared" si="4"/>
        <v>11.641057609323722</v>
      </c>
      <c r="F43" s="20">
        <f t="shared" si="5"/>
        <v>1.8350864598636962</v>
      </c>
    </row>
    <row r="44" spans="1:6" x14ac:dyDescent="0.25">
      <c r="A44" s="8">
        <f t="shared" si="3"/>
        <v>38</v>
      </c>
      <c r="B44" s="16">
        <v>44593</v>
      </c>
      <c r="C44" s="17">
        <v>98015.390212059021</v>
      </c>
      <c r="D44" s="18">
        <v>0.52284667309468358</v>
      </c>
      <c r="E44" s="19">
        <f t="shared" si="4"/>
        <v>11.492879788302945</v>
      </c>
      <c r="F44" s="20">
        <f t="shared" si="5"/>
        <v>1.7297931456069833</v>
      </c>
    </row>
    <row r="45" spans="1:6" x14ac:dyDescent="0.25">
      <c r="A45" s="8">
        <f t="shared" si="3"/>
        <v>39</v>
      </c>
      <c r="B45" s="16">
        <v>44621</v>
      </c>
      <c r="C45" s="17">
        <v>119287.8302438259</v>
      </c>
      <c r="D45" s="18">
        <v>0.52124756007328787</v>
      </c>
      <c r="E45" s="19">
        <f t="shared" si="4"/>
        <v>11.689294593191349</v>
      </c>
      <c r="F45" s="20">
        <f t="shared" si="5"/>
        <v>1.9562212718653957</v>
      </c>
    </row>
    <row r="46" spans="1:6" x14ac:dyDescent="0.25">
      <c r="A46" s="8">
        <f t="shared" si="3"/>
        <v>40</v>
      </c>
      <c r="B46" s="16">
        <v>44652</v>
      </c>
      <c r="C46" s="17">
        <v>113637.6201777458</v>
      </c>
      <c r="D46" s="18">
        <v>0.5199759164325678</v>
      </c>
      <c r="E46" s="19">
        <f t="shared" si="4"/>
        <v>11.640769893983142</v>
      </c>
      <c r="F46" s="20">
        <f t="shared" si="5"/>
        <v>1.6036538214158373</v>
      </c>
    </row>
    <row r="47" spans="1:6" x14ac:dyDescent="0.25">
      <c r="A47" s="8">
        <f t="shared" si="3"/>
        <v>41</v>
      </c>
      <c r="B47" s="16">
        <v>44682</v>
      </c>
      <c r="C47" s="17">
        <v>119652.1701276302</v>
      </c>
      <c r="D47" s="18">
        <v>0.51533556341014186</v>
      </c>
      <c r="E47" s="19">
        <f t="shared" si="4"/>
        <v>11.692344230469409</v>
      </c>
      <c r="F47" s="20">
        <f t="shared" si="5"/>
        <v>1.6168821043168546</v>
      </c>
    </row>
    <row r="48" spans="1:6" x14ac:dyDescent="0.25">
      <c r="A48" s="8">
        <f t="shared" si="3"/>
        <v>42</v>
      </c>
      <c r="B48" s="16">
        <v>44713</v>
      </c>
      <c r="C48" s="17">
        <v>133353.570147872</v>
      </c>
      <c r="D48" s="18">
        <v>0.52192517416182138</v>
      </c>
      <c r="E48" s="19">
        <f t="shared" si="4"/>
        <v>11.800759302014221</v>
      </c>
      <c r="F48" s="20">
        <f t="shared" si="5"/>
        <v>1.7814811085174918</v>
      </c>
    </row>
    <row r="49" spans="1:6" x14ac:dyDescent="0.25">
      <c r="A49" s="8">
        <f t="shared" si="3"/>
        <v>43</v>
      </c>
      <c r="B49" s="16">
        <v>44743</v>
      </c>
      <c r="C49" s="17">
        <v>137325.9301383495</v>
      </c>
      <c r="D49" s="18">
        <v>0.52304211606144491</v>
      </c>
      <c r="E49" s="19">
        <f t="shared" si="4"/>
        <v>11.83011243145094</v>
      </c>
      <c r="F49" s="20">
        <f t="shared" si="5"/>
        <v>1.7162160804271862</v>
      </c>
    </row>
    <row r="50" spans="1:6" x14ac:dyDescent="0.25">
      <c r="A50" s="8">
        <f t="shared" si="3"/>
        <v>44</v>
      </c>
      <c r="B50" s="16">
        <v>44774</v>
      </c>
      <c r="C50" s="17">
        <v>142612.7901010513</v>
      </c>
      <c r="D50" s="18">
        <v>0.52271092961356069</v>
      </c>
      <c r="E50" s="19">
        <f t="shared" si="4"/>
        <v>11.867888475093467</v>
      </c>
      <c r="F50" s="20">
        <f t="shared" si="5"/>
        <v>1.7759282170535566</v>
      </c>
    </row>
    <row r="51" spans="1:6" x14ac:dyDescent="0.25">
      <c r="A51" s="8">
        <f t="shared" si="3"/>
        <v>45</v>
      </c>
      <c r="B51" s="16">
        <v>44805</v>
      </c>
      <c r="C51" s="17">
        <v>137519.58025622371</v>
      </c>
      <c r="D51" s="18">
        <v>0.52003880219045684</v>
      </c>
      <c r="E51" s="19">
        <f t="shared" si="4"/>
        <v>11.831521587814025</v>
      </c>
      <c r="F51" s="20">
        <f t="shared" si="5"/>
        <v>1.6193088816295724</v>
      </c>
    </row>
    <row r="52" spans="1:6" x14ac:dyDescent="0.25">
      <c r="A52" s="8">
        <f t="shared" si="3"/>
        <v>46</v>
      </c>
      <c r="B52" s="16">
        <v>44835</v>
      </c>
      <c r="C52" s="17">
        <v>152485.03018927571</v>
      </c>
      <c r="D52" s="18">
        <v>0.5206409473571284</v>
      </c>
      <c r="E52" s="19">
        <f t="shared" si="4"/>
        <v>11.934821707518056</v>
      </c>
      <c r="F52" s="20">
        <f t="shared" si="5"/>
        <v>1.6705997740300234</v>
      </c>
    </row>
    <row r="53" spans="1:6" x14ac:dyDescent="0.25">
      <c r="A53" s="8">
        <f t="shared" si="3"/>
        <v>47</v>
      </c>
      <c r="B53" s="16">
        <v>44866</v>
      </c>
      <c r="C53" s="17">
        <v>155504.0401403904</v>
      </c>
      <c r="D53" s="18">
        <v>0.51890252186574881</v>
      </c>
      <c r="E53" s="19">
        <f t="shared" si="4"/>
        <v>11.954426991874138</v>
      </c>
      <c r="F53" s="20">
        <f t="shared" si="5"/>
        <v>1.6485595566655789</v>
      </c>
    </row>
    <row r="54" spans="1:6" x14ac:dyDescent="0.25">
      <c r="A54" s="8">
        <f t="shared" si="3"/>
        <v>48</v>
      </c>
      <c r="B54" s="16">
        <v>44896</v>
      </c>
      <c r="C54" s="17">
        <v>160734.2702050395</v>
      </c>
      <c r="D54" s="18">
        <v>0.51728456902738185</v>
      </c>
      <c r="E54" s="19">
        <f t="shared" si="4"/>
        <v>11.987507784777248</v>
      </c>
      <c r="F54" s="20">
        <f t="shared" si="5"/>
        <v>1.6751754099510983</v>
      </c>
    </row>
    <row r="55" spans="1:6" x14ac:dyDescent="0.25">
      <c r="A55" s="8">
        <f t="shared" si="3"/>
        <v>49</v>
      </c>
      <c r="B55" s="16">
        <v>44927</v>
      </c>
      <c r="C55" s="17">
        <v>188680.17009925839</v>
      </c>
      <c r="D55" s="18">
        <v>0.52021394801509924</v>
      </c>
      <c r="E55" s="19">
        <f t="shared" si="4"/>
        <v>12.147808638920255</v>
      </c>
      <c r="F55" s="20">
        <f t="shared" si="5"/>
        <v>1.6598894928770385</v>
      </c>
    </row>
    <row r="56" spans="1:6" x14ac:dyDescent="0.25">
      <c r="A56" s="8">
        <f t="shared" si="3"/>
        <v>50</v>
      </c>
      <c r="B56" s="16">
        <v>44958</v>
      </c>
      <c r="C56" s="17">
        <v>167409.8501970768</v>
      </c>
      <c r="D56" s="18">
        <v>0.51950882597139103</v>
      </c>
      <c r="E56" s="19">
        <f t="shared" si="4"/>
        <v>12.028200277582817</v>
      </c>
      <c r="F56" s="20">
        <f t="shared" si="5"/>
        <v>1.7079955488100484</v>
      </c>
    </row>
    <row r="57" spans="1:6" x14ac:dyDescent="0.25">
      <c r="A57" s="8">
        <f t="shared" si="3"/>
        <v>51</v>
      </c>
      <c r="B57" s="16">
        <v>44986</v>
      </c>
      <c r="C57" s="17">
        <v>184777.90021240711</v>
      </c>
      <c r="D57" s="18">
        <v>0.51758822703517415</v>
      </c>
      <c r="E57" s="19">
        <f t="shared" si="4"/>
        <v>12.126909843443354</v>
      </c>
      <c r="F57" s="20">
        <f t="shared" si="5"/>
        <v>1.5490088120030236</v>
      </c>
    </row>
    <row r="58" spans="1:6" x14ac:dyDescent="0.25">
      <c r="A58" s="8">
        <f t="shared" si="3"/>
        <v>52</v>
      </c>
      <c r="B58" s="16">
        <v>45017</v>
      </c>
      <c r="C58" s="17">
        <v>193149.96007275581</v>
      </c>
      <c r="D58" s="18">
        <v>0.51832688361903634</v>
      </c>
      <c r="E58" s="19">
        <f t="shared" si="4"/>
        <v>12.171222161378154</v>
      </c>
      <c r="F58" s="20">
        <f t="shared" si="5"/>
        <v>1.6997008540889991</v>
      </c>
    </row>
    <row r="59" spans="1:6" x14ac:dyDescent="0.25">
      <c r="A59" s="8">
        <f t="shared" si="3"/>
        <v>53</v>
      </c>
      <c r="B59" s="16">
        <v>45047</v>
      </c>
      <c r="C59" s="17">
        <v>209624.34030818939</v>
      </c>
      <c r="D59" s="18">
        <v>0.51731035841377793</v>
      </c>
      <c r="E59" s="19">
        <f t="shared" si="4"/>
        <v>12.253072352111325</v>
      </c>
      <c r="F59" s="20">
        <f t="shared" si="5"/>
        <v>1.7519476670133769</v>
      </c>
    </row>
    <row r="60" spans="1:6" x14ac:dyDescent="0.25">
      <c r="A60" s="8">
        <f t="shared" si="3"/>
        <v>54</v>
      </c>
      <c r="B60" s="16">
        <v>45078</v>
      </c>
      <c r="C60" s="17">
        <v>205503.24020504949</v>
      </c>
      <c r="D60" s="18">
        <v>0.51783063070388946</v>
      </c>
      <c r="E60" s="19">
        <f t="shared" si="4"/>
        <v>12.233217080215287</v>
      </c>
      <c r="F60" s="20">
        <f t="shared" si="5"/>
        <v>1.5410404084208076</v>
      </c>
    </row>
    <row r="61" spans="1:6" x14ac:dyDescent="0.25">
      <c r="A61" s="8">
        <f t="shared" si="3"/>
        <v>55</v>
      </c>
      <c r="B61" s="16">
        <v>45108</v>
      </c>
      <c r="C61" s="17">
        <v>232777.6403400898</v>
      </c>
      <c r="D61" s="18">
        <v>0.52001368350469723</v>
      </c>
      <c r="E61" s="19">
        <f t="shared" si="4"/>
        <v>12.357838943577546</v>
      </c>
      <c r="F61" s="20">
        <f t="shared" si="5"/>
        <v>1.6950741939674256</v>
      </c>
    </row>
    <row r="62" spans="1:6" x14ac:dyDescent="0.25">
      <c r="A62" s="8">
        <f t="shared" si="3"/>
        <v>56</v>
      </c>
      <c r="B62" s="16">
        <v>45139</v>
      </c>
      <c r="C62" s="17">
        <v>246129.77018761629</v>
      </c>
      <c r="D62" s="18">
        <v>0.51536743144992025</v>
      </c>
      <c r="E62" s="19">
        <f t="shared" si="4"/>
        <v>12.413614196912036</v>
      </c>
      <c r="F62" s="20">
        <f t="shared" si="5"/>
        <v>1.7258604225695033</v>
      </c>
    </row>
    <row r="63" spans="1:6" x14ac:dyDescent="0.25">
      <c r="A63" s="8">
        <f t="shared" si="3"/>
        <v>57</v>
      </c>
      <c r="B63" s="16">
        <v>45170</v>
      </c>
      <c r="C63" s="17">
        <v>261138.52030706409</v>
      </c>
      <c r="D63" s="18">
        <v>0.51808206563808556</v>
      </c>
      <c r="E63" s="19">
        <f t="shared" si="4"/>
        <v>12.472806274663768</v>
      </c>
      <c r="F63" s="20">
        <f t="shared" si="5"/>
        <v>1.8989188290170467</v>
      </c>
    </row>
    <row r="64" spans="1:6" x14ac:dyDescent="0.25">
      <c r="A64" s="8">
        <f t="shared" si="3"/>
        <v>58</v>
      </c>
      <c r="B64" s="16">
        <v>45200</v>
      </c>
      <c r="C64" s="17">
        <v>279981.62028169632</v>
      </c>
      <c r="D64" s="18">
        <v>0.51858126030755225</v>
      </c>
      <c r="E64" s="19">
        <f t="shared" si="4"/>
        <v>12.542479238145782</v>
      </c>
      <c r="F64" s="20">
        <f t="shared" si="5"/>
        <v>1.8361252900311749</v>
      </c>
    </row>
    <row r="65" spans="1:6" x14ac:dyDescent="0.25">
      <c r="A65" s="8">
        <f t="shared" si="3"/>
        <v>59</v>
      </c>
      <c r="B65" s="16">
        <v>45231</v>
      </c>
      <c r="C65" s="17">
        <v>298467.6802778244</v>
      </c>
      <c r="D65" s="18">
        <v>0.52042503110348015</v>
      </c>
      <c r="E65" s="19">
        <f t="shared" si="4"/>
        <v>12.606416932176632</v>
      </c>
      <c r="F65" s="20">
        <f t="shared" si="5"/>
        <v>1.9193564360666462</v>
      </c>
    </row>
    <row r="66" spans="1:6" x14ac:dyDescent="0.25">
      <c r="A66" s="8">
        <f t="shared" si="3"/>
        <v>60</v>
      </c>
      <c r="B66" s="16">
        <v>45261</v>
      </c>
      <c r="C66" s="17">
        <v>326301.66045475012</v>
      </c>
      <c r="D66" s="18">
        <v>0.5177874107035344</v>
      </c>
      <c r="E66" s="19">
        <f t="shared" si="4"/>
        <v>12.695577571305057</v>
      </c>
      <c r="F66" s="20">
        <f t="shared" si="5"/>
        <v>2.0300690079253525</v>
      </c>
    </row>
    <row r="67" spans="1:6" x14ac:dyDescent="0.25">
      <c r="A67" s="8">
        <f t="shared" si="3"/>
        <v>61</v>
      </c>
      <c r="B67" s="16">
        <v>45292</v>
      </c>
      <c r="C67" s="17">
        <v>348737.74029840901</v>
      </c>
      <c r="D67" s="18">
        <v>0.51891693749533929</v>
      </c>
      <c r="E67" s="19">
        <f t="shared" si="4"/>
        <v>12.76207545823361</v>
      </c>
      <c r="F67" s="20">
        <f t="shared" si="5"/>
        <v>1.848300964086208</v>
      </c>
    </row>
    <row r="68" spans="1:6" x14ac:dyDescent="0.25">
      <c r="A68" s="8">
        <f t="shared" si="3"/>
        <v>62</v>
      </c>
      <c r="B68" s="16">
        <v>45323</v>
      </c>
      <c r="C68" s="17">
        <v>381972.60026504472</v>
      </c>
      <c r="D68" s="18">
        <v>0.51983751417286217</v>
      </c>
      <c r="E68" s="19">
        <f t="shared" si="4"/>
        <v>12.853104157961347</v>
      </c>
      <c r="F68" s="20">
        <f t="shared" si="5"/>
        <v>2.2816614423546895</v>
      </c>
    </row>
    <row r="69" spans="1:6" x14ac:dyDescent="0.25">
      <c r="A69" s="8">
        <f t="shared" si="3"/>
        <v>63</v>
      </c>
      <c r="B69" s="16">
        <v>45352</v>
      </c>
      <c r="C69" s="17">
        <v>441334.21046054357</v>
      </c>
      <c r="D69" s="18">
        <v>0.51910215582488051</v>
      </c>
      <c r="E69" s="19">
        <f t="shared" si="4"/>
        <v>12.997557714257367</v>
      </c>
      <c r="F69" s="20">
        <f t="shared" si="5"/>
        <v>2.3884577644470371</v>
      </c>
    </row>
    <row r="70" spans="1:6" x14ac:dyDescent="0.25">
      <c r="A70" s="8">
        <f t="shared" si="3"/>
        <v>64</v>
      </c>
      <c r="B70" s="16">
        <v>45383</v>
      </c>
      <c r="C70" s="17">
        <v>550157.88051688671</v>
      </c>
      <c r="D70" s="18">
        <v>0.51848982521615372</v>
      </c>
      <c r="E70" s="19">
        <f t="shared" si="4"/>
        <v>13.21796057150136</v>
      </c>
      <c r="F70" s="20">
        <f t="shared" si="5"/>
        <v>2.8483458153946963</v>
      </c>
    </row>
    <row r="72" spans="1:6" x14ac:dyDescent="0.25">
      <c r="A72" s="21" t="s">
        <v>104</v>
      </c>
    </row>
    <row r="73" spans="1:6" x14ac:dyDescent="0.25">
      <c r="A73" s="21" t="s">
        <v>105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E22"/>
  <sheetViews>
    <sheetView showGridLines="0" workbookViewId="0"/>
  </sheetViews>
  <sheetFormatPr defaultRowHeight="15" x14ac:dyDescent="0.25"/>
  <cols>
    <col min="1" max="1" width="3" customWidth="1"/>
    <col min="2" max="2" width="30" customWidth="1"/>
    <col min="3" max="3" width="14" customWidth="1"/>
    <col min="4" max="4" width="70" customWidth="1"/>
    <col min="5" max="5" width="26" customWidth="1"/>
  </cols>
  <sheetData>
    <row r="1" spans="1:5" ht="18" x14ac:dyDescent="0.25">
      <c r="A1" s="13" t="s">
        <v>106</v>
      </c>
    </row>
    <row r="2" spans="1:5" x14ac:dyDescent="0.25">
      <c r="A2" s="14" t="s">
        <v>107</v>
      </c>
    </row>
    <row r="3" spans="1:5" x14ac:dyDescent="0.25">
      <c r="A3" s="14" t="s">
        <v>108</v>
      </c>
    </row>
    <row r="4" spans="1:5" ht="20.100000000000001" customHeight="1" x14ac:dyDescent="0.25">
      <c r="B4" s="4" t="s">
        <v>109</v>
      </c>
      <c r="C4" s="4" t="s">
        <v>110</v>
      </c>
      <c r="D4" s="4" t="s">
        <v>111</v>
      </c>
      <c r="E4" s="4" t="s">
        <v>112</v>
      </c>
    </row>
    <row r="5" spans="1:5" x14ac:dyDescent="0.25">
      <c r="B5" s="22" t="s">
        <v>113</v>
      </c>
      <c r="C5" s="23">
        <v>12</v>
      </c>
      <c r="D5" s="5" t="s">
        <v>114</v>
      </c>
      <c r="E5" s="24" t="s">
        <v>115</v>
      </c>
    </row>
    <row r="6" spans="1:5" x14ac:dyDescent="0.25">
      <c r="B6" s="22" t="s">
        <v>116</v>
      </c>
      <c r="C6" s="23">
        <v>8</v>
      </c>
      <c r="D6" s="5" t="s">
        <v>117</v>
      </c>
      <c r="E6" s="24" t="s">
        <v>118</v>
      </c>
    </row>
    <row r="7" spans="1:5" x14ac:dyDescent="0.25">
      <c r="B7" s="22" t="s">
        <v>119</v>
      </c>
      <c r="C7" s="25">
        <v>24</v>
      </c>
      <c r="D7" s="5" t="s">
        <v>120</v>
      </c>
      <c r="E7" s="24" t="s">
        <v>121</v>
      </c>
    </row>
    <row r="8" spans="1:5" x14ac:dyDescent="0.25">
      <c r="B8" s="22" t="s">
        <v>122</v>
      </c>
      <c r="C8" s="26">
        <f>2*Season+1</f>
        <v>25</v>
      </c>
      <c r="D8" s="5" t="s">
        <v>123</v>
      </c>
      <c r="E8" s="24" t="s">
        <v>124</v>
      </c>
    </row>
    <row r="9" spans="1:5" x14ac:dyDescent="0.25">
      <c r="B9" s="22" t="s">
        <v>125</v>
      </c>
      <c r="C9" s="27">
        <v>0.5</v>
      </c>
      <c r="D9" s="5" t="s">
        <v>126</v>
      </c>
      <c r="E9" s="24" t="s">
        <v>127</v>
      </c>
    </row>
    <row r="10" spans="1:5" x14ac:dyDescent="0.25">
      <c r="B10" s="22" t="s">
        <v>128</v>
      </c>
      <c r="C10" s="28">
        <v>2.5</v>
      </c>
      <c r="D10" s="5" t="s">
        <v>129</v>
      </c>
      <c r="E10" s="24" t="s">
        <v>127</v>
      </c>
    </row>
    <row r="11" spans="1:5" x14ac:dyDescent="0.25">
      <c r="B11" s="22" t="s">
        <v>130</v>
      </c>
      <c r="C11" s="26">
        <f>COUNT(Sales)</f>
        <v>64</v>
      </c>
      <c r="D11" s="5" t="s">
        <v>131</v>
      </c>
      <c r="E11" s="24" t="s">
        <v>132</v>
      </c>
    </row>
    <row r="12" spans="1:5" x14ac:dyDescent="0.25">
      <c r="B12" s="22" t="s">
        <v>133</v>
      </c>
      <c r="C12" s="29">
        <f>INDEX(Months,NMonths)</f>
        <v>45383</v>
      </c>
      <c r="D12" s="5" t="s">
        <v>134</v>
      </c>
      <c r="E12" s="24" t="s">
        <v>135</v>
      </c>
    </row>
    <row r="13" spans="1:5" x14ac:dyDescent="0.25">
      <c r="B13" s="22" t="s">
        <v>136</v>
      </c>
      <c r="C13" s="26">
        <f>NMonths-MinTrain-Horizon+1</f>
        <v>32</v>
      </c>
      <c r="D13" s="5" t="s">
        <v>137</v>
      </c>
      <c r="E13" s="24" t="s">
        <v>138</v>
      </c>
    </row>
    <row r="14" spans="1:5" x14ac:dyDescent="0.25">
      <c r="B14" s="22" t="s">
        <v>139</v>
      </c>
      <c r="C14" s="30">
        <f>MIN(Origins,MaxTests)</f>
        <v>24</v>
      </c>
      <c r="D14" s="5" t="s">
        <v>140</v>
      </c>
      <c r="E14" s="24" t="s">
        <v>141</v>
      </c>
    </row>
    <row r="16" spans="1:5" x14ac:dyDescent="0.25">
      <c r="B16" s="3" t="s">
        <v>142</v>
      </c>
    </row>
    <row r="17" spans="2:5" ht="20.100000000000001" customHeight="1" x14ac:dyDescent="0.25">
      <c r="B17" s="4" t="s">
        <v>143</v>
      </c>
      <c r="C17" s="4" t="s">
        <v>144</v>
      </c>
      <c r="D17" s="4" t="s">
        <v>145</v>
      </c>
      <c r="E17" s="4" t="s">
        <v>146</v>
      </c>
    </row>
    <row r="18" spans="2:5" ht="38.25" x14ac:dyDescent="0.25">
      <c r="B18" s="22" t="s">
        <v>147</v>
      </c>
      <c r="C18" s="31">
        <v>1</v>
      </c>
      <c r="D18" s="32">
        <v>0</v>
      </c>
      <c r="E18" s="5" t="s">
        <v>148</v>
      </c>
    </row>
    <row r="19" spans="2:5" ht="38.25" x14ac:dyDescent="0.25">
      <c r="B19" s="22" t="s">
        <v>149</v>
      </c>
      <c r="C19" s="31">
        <v>1.1000000000000001</v>
      </c>
      <c r="D19" s="32">
        <v>0.5</v>
      </c>
      <c r="E19" s="5" t="s">
        <v>150</v>
      </c>
    </row>
    <row r="20" spans="2:5" ht="38.25" x14ac:dyDescent="0.25">
      <c r="B20" s="22" t="s">
        <v>151</v>
      </c>
      <c r="C20" s="31">
        <v>0.9</v>
      </c>
      <c r="D20" s="32">
        <v>-2</v>
      </c>
      <c r="E20" s="5" t="s">
        <v>152</v>
      </c>
    </row>
    <row r="22" spans="2:5" x14ac:dyDescent="0.25">
      <c r="B22" s="21" t="s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L28"/>
  <sheetViews>
    <sheetView showGridLines="0" workbookViewId="0"/>
  </sheetViews>
  <sheetFormatPr defaultRowHeight="15" x14ac:dyDescent="0.25"/>
  <cols>
    <col min="1" max="1" width="3" customWidth="1"/>
    <col min="2" max="2" width="34" customWidth="1"/>
    <col min="3" max="4" width="14" customWidth="1"/>
    <col min="5" max="7" width="16" customWidth="1"/>
    <col min="8" max="8" width="18" customWidth="1"/>
    <col min="9" max="12" width="12" customWidth="1"/>
  </cols>
  <sheetData>
    <row r="1" spans="1:4" ht="18" x14ac:dyDescent="0.25">
      <c r="A1" s="13" t="s">
        <v>154</v>
      </c>
    </row>
    <row r="2" spans="1:4" x14ac:dyDescent="0.25">
      <c r="A2" s="14" t="s">
        <v>155</v>
      </c>
    </row>
    <row r="3" spans="1:4" x14ac:dyDescent="0.25">
      <c r="A3" s="14" t="s">
        <v>156</v>
      </c>
    </row>
    <row r="5" spans="1:4" x14ac:dyDescent="0.25">
      <c r="B5" s="22" t="s">
        <v>157</v>
      </c>
      <c r="C5" s="25">
        <v>24</v>
      </c>
    </row>
    <row r="6" spans="1:4" x14ac:dyDescent="0.25">
      <c r="B6" s="22" t="s">
        <v>158</v>
      </c>
      <c r="C6" s="26">
        <f>TestsUsed+Horizon-C5</f>
        <v>8</v>
      </c>
      <c r="D6" s="21" t="s">
        <v>159</v>
      </c>
    </row>
    <row r="7" spans="1:4" x14ac:dyDescent="0.25">
      <c r="B7" s="22" t="s">
        <v>160</v>
      </c>
      <c r="C7" s="26">
        <f>NMonths-C6</f>
        <v>56</v>
      </c>
      <c r="D7" s="21" t="s">
        <v>161</v>
      </c>
    </row>
    <row r="8" spans="1:4" x14ac:dyDescent="0.25">
      <c r="B8" s="22" t="s">
        <v>162</v>
      </c>
      <c r="C8" s="29">
        <f>INDEX(Months,C7)</f>
        <v>45139</v>
      </c>
      <c r="D8" s="21"/>
    </row>
    <row r="9" spans="1:4" x14ac:dyDescent="0.25">
      <c r="B9" s="22" t="s">
        <v>163</v>
      </c>
      <c r="C9" s="29">
        <f>INDEX(Months,C7+1)</f>
        <v>45170</v>
      </c>
      <c r="D9" s="21"/>
    </row>
    <row r="11" spans="1:4" x14ac:dyDescent="0.25">
      <c r="B11" s="3" t="s">
        <v>164</v>
      </c>
    </row>
    <row r="12" spans="1:4" x14ac:dyDescent="0.25">
      <c r="B12" s="22" t="s">
        <v>165</v>
      </c>
      <c r="C12" s="33">
        <f>INDEX(Sales,C7)</f>
        <v>246129.77018761629</v>
      </c>
      <c r="D12" s="29">
        <f>INDEX(Months,C7)</f>
        <v>45139</v>
      </c>
    </row>
    <row r="13" spans="1:4" x14ac:dyDescent="0.25">
      <c r="B13" s="22" t="s">
        <v>166</v>
      </c>
      <c r="C13" s="33">
        <f>INDEX(Sales,C7-Season)</f>
        <v>142612.7901010513</v>
      </c>
      <c r="D13" s="29">
        <f>INDEX(Months,C7-Season)</f>
        <v>44774</v>
      </c>
    </row>
    <row r="14" spans="1:4" x14ac:dyDescent="0.25">
      <c r="B14" s="22" t="s">
        <v>167</v>
      </c>
      <c r="C14" s="19">
        <f>C12/C13</f>
        <v>1.7258604225695033</v>
      </c>
    </row>
    <row r="15" spans="1:4" x14ac:dyDescent="0.25">
      <c r="B15" s="22" t="s">
        <v>168</v>
      </c>
      <c r="C15" s="34">
        <f>MIN(MAX(C14,ClipLow),ClipHigh)</f>
        <v>1.7258604225695033</v>
      </c>
      <c r="D15" s="21" t="s">
        <v>169</v>
      </c>
    </row>
    <row r="17" spans="2:12" ht="60" customHeight="1" x14ac:dyDescent="0.25">
      <c r="B17" s="15" t="s">
        <v>170</v>
      </c>
      <c r="C17" s="15" t="s">
        <v>171</v>
      </c>
      <c r="D17" s="15" t="s">
        <v>172</v>
      </c>
      <c r="E17" s="15" t="s">
        <v>173</v>
      </c>
      <c r="F17" s="15" t="s">
        <v>174</v>
      </c>
      <c r="G17" s="15" t="s">
        <v>175</v>
      </c>
      <c r="H17" s="15" t="s">
        <v>176</v>
      </c>
      <c r="I17" s="15" t="s">
        <v>177</v>
      </c>
      <c r="J17" s="15"/>
      <c r="K17" s="15"/>
      <c r="L17" s="15"/>
    </row>
    <row r="18" spans="2:12" ht="30" customHeight="1" x14ac:dyDescent="0.25">
      <c r="B18" s="4" t="s">
        <v>5</v>
      </c>
      <c r="C18" s="4" t="s">
        <v>178</v>
      </c>
      <c r="D18" s="4" t="s">
        <v>179</v>
      </c>
      <c r="E18" s="4" t="s">
        <v>180</v>
      </c>
      <c r="F18" s="4" t="s">
        <v>181</v>
      </c>
      <c r="G18" s="4" t="s">
        <v>182</v>
      </c>
      <c r="H18" s="4" t="s">
        <v>183</v>
      </c>
      <c r="I18" s="4" t="s">
        <v>184</v>
      </c>
      <c r="J18" s="4" t="s">
        <v>185</v>
      </c>
      <c r="K18" s="4" t="s">
        <v>186</v>
      </c>
      <c r="L18" s="4" t="s">
        <v>187</v>
      </c>
    </row>
    <row r="19" spans="2:12" x14ac:dyDescent="0.25">
      <c r="B19" s="26">
        <f t="shared" ref="B19:B26" si="0">ROW()-ROW($B$18)</f>
        <v>1</v>
      </c>
      <c r="C19" s="29">
        <f t="shared" ref="C19:C26" si="1">INDEX(Months,$C$7+B19)</f>
        <v>45170</v>
      </c>
      <c r="D19" s="33">
        <f t="shared" ref="D19:D26" si="2">INDEX(Sales,$C$7+B19)</f>
        <v>261138.52030706409</v>
      </c>
      <c r="E19" s="33">
        <f t="shared" ref="E19:E26" si="3">INDEX(Sales,$C$7+B19-Season)</f>
        <v>137519.58025622371</v>
      </c>
      <c r="F19" s="33">
        <f t="shared" ref="F19:F26" si="4">E19*$C$15</f>
        <v>237339.60089258698</v>
      </c>
      <c r="G19" s="33">
        <f t="shared" ref="G19:G26" si="5">INDEX(HWTable,MATCH($C$6,HWOffsets,0),B19)</f>
        <v>247168.28464112661</v>
      </c>
      <c r="H19" s="33">
        <f t="shared" ref="H19:H26" ca="1" si="6">EXP(_xlfn.FORECAST.ETS($C$7+B19,OFFSET(LogSales,0,0,$C$7),OFFSET(RowIdx,0,0,$C$7),Season))</f>
        <v>248264.83807740884</v>
      </c>
      <c r="I19" s="35">
        <f t="shared" ref="I19:L26" si="7">ABS(E19-$D19)/$D19</f>
        <v>0.47338454665930169</v>
      </c>
      <c r="J19" s="35">
        <f t="shared" si="7"/>
        <v>9.1135231165791808E-2</v>
      </c>
      <c r="K19" s="35">
        <f t="shared" si="7"/>
        <v>5.3497414512077131E-2</v>
      </c>
      <c r="L19" s="35">
        <f t="shared" ca="1" si="7"/>
        <v>4.9298288948399903E-2</v>
      </c>
    </row>
    <row r="20" spans="2:12" x14ac:dyDescent="0.25">
      <c r="B20" s="26">
        <f t="shared" si="0"/>
        <v>2</v>
      </c>
      <c r="C20" s="29">
        <f t="shared" si="1"/>
        <v>45200</v>
      </c>
      <c r="D20" s="33">
        <f t="shared" si="2"/>
        <v>279981.62028169632</v>
      </c>
      <c r="E20" s="33">
        <f t="shared" si="3"/>
        <v>152485.03018927571</v>
      </c>
      <c r="F20" s="33">
        <f t="shared" si="4"/>
        <v>263167.87863798684</v>
      </c>
      <c r="G20" s="33">
        <f t="shared" si="5"/>
        <v>285815.1418645879</v>
      </c>
      <c r="H20" s="33">
        <f t="shared" ca="1" si="6"/>
        <v>284826.64366889966</v>
      </c>
      <c r="I20" s="35">
        <f t="shared" si="7"/>
        <v>0.45537485626429042</v>
      </c>
      <c r="J20" s="35">
        <f t="shared" si="7"/>
        <v>6.0053019290311864E-2</v>
      </c>
      <c r="K20" s="35">
        <f t="shared" si="7"/>
        <v>2.0835373325657356E-2</v>
      </c>
      <c r="L20" s="35">
        <f t="shared" ca="1" si="7"/>
        <v>1.7304790872803174E-2</v>
      </c>
    </row>
    <row r="21" spans="2:12" x14ac:dyDescent="0.25">
      <c r="B21" s="26">
        <f t="shared" si="0"/>
        <v>3</v>
      </c>
      <c r="C21" s="29">
        <f t="shared" si="1"/>
        <v>45231</v>
      </c>
      <c r="D21" s="33">
        <f t="shared" si="2"/>
        <v>298467.6802778244</v>
      </c>
      <c r="E21" s="33">
        <f t="shared" si="3"/>
        <v>155504.0401403904</v>
      </c>
      <c r="F21" s="33">
        <f t="shared" si="4"/>
        <v>268378.26842795918</v>
      </c>
      <c r="G21" s="33">
        <f t="shared" si="5"/>
        <v>313887.29476609977</v>
      </c>
      <c r="H21" s="33">
        <f t="shared" ca="1" si="6"/>
        <v>308928.70740854566</v>
      </c>
      <c r="I21" s="35">
        <f t="shared" si="7"/>
        <v>0.47899203024045461</v>
      </c>
      <c r="J21" s="35">
        <f t="shared" si="7"/>
        <v>0.10081296514871199</v>
      </c>
      <c r="K21" s="35">
        <f t="shared" si="7"/>
        <v>5.1662593664822412E-2</v>
      </c>
      <c r="L21" s="35">
        <f t="shared" ca="1" si="7"/>
        <v>3.5049111920539451E-2</v>
      </c>
    </row>
    <row r="22" spans="2:12" x14ac:dyDescent="0.25">
      <c r="B22" s="26">
        <f t="shared" si="0"/>
        <v>4</v>
      </c>
      <c r="C22" s="29">
        <f t="shared" si="1"/>
        <v>45261</v>
      </c>
      <c r="D22" s="33">
        <f t="shared" si="2"/>
        <v>326301.66045475012</v>
      </c>
      <c r="E22" s="33">
        <f t="shared" si="3"/>
        <v>160734.2702050395</v>
      </c>
      <c r="F22" s="33">
        <f t="shared" si="4"/>
        <v>277404.91549747018</v>
      </c>
      <c r="G22" s="33">
        <f t="shared" si="5"/>
        <v>333921.42350041261</v>
      </c>
      <c r="H22" s="33">
        <f t="shared" ca="1" si="6"/>
        <v>315138.53244546417</v>
      </c>
      <c r="I22" s="35">
        <f t="shared" si="7"/>
        <v>0.50740590783071016</v>
      </c>
      <c r="J22" s="35">
        <f t="shared" si="7"/>
        <v>0.1498513519334686</v>
      </c>
      <c r="K22" s="35">
        <f t="shared" si="7"/>
        <v>2.3351897857470941E-2</v>
      </c>
      <c r="L22" s="35">
        <f t="shared" ca="1" si="7"/>
        <v>3.4211067126438968E-2</v>
      </c>
    </row>
    <row r="23" spans="2:12" x14ac:dyDescent="0.25">
      <c r="B23" s="26">
        <f t="shared" si="0"/>
        <v>5</v>
      </c>
      <c r="C23" s="29">
        <f t="shared" si="1"/>
        <v>45292</v>
      </c>
      <c r="D23" s="33">
        <f t="shared" si="2"/>
        <v>348737.74029840901</v>
      </c>
      <c r="E23" s="33">
        <f t="shared" si="3"/>
        <v>188680.17009925839</v>
      </c>
      <c r="F23" s="33">
        <f t="shared" si="4"/>
        <v>325635.63809799188</v>
      </c>
      <c r="G23" s="33">
        <f t="shared" si="5"/>
        <v>415827.73565690097</v>
      </c>
      <c r="H23" s="33">
        <f t="shared" ca="1" si="6"/>
        <v>375282.60994876182</v>
      </c>
      <c r="I23" s="35">
        <f t="shared" si="7"/>
        <v>0.45896257188049694</v>
      </c>
      <c r="J23" s="35">
        <f t="shared" si="7"/>
        <v>6.6244915679757113E-2</v>
      </c>
      <c r="K23" s="35">
        <f t="shared" si="7"/>
        <v>0.19237950931575165</v>
      </c>
      <c r="L23" s="35">
        <f t="shared" ca="1" si="7"/>
        <v>7.6116997339143178E-2</v>
      </c>
    </row>
    <row r="24" spans="2:12" x14ac:dyDescent="0.25">
      <c r="B24" s="26">
        <f t="shared" si="0"/>
        <v>6</v>
      </c>
      <c r="C24" s="29">
        <f t="shared" si="1"/>
        <v>45323</v>
      </c>
      <c r="D24" s="33">
        <f t="shared" si="2"/>
        <v>381972.60026504472</v>
      </c>
      <c r="E24" s="33">
        <f t="shared" si="3"/>
        <v>167409.8501970768</v>
      </c>
      <c r="F24" s="33">
        <f t="shared" si="4"/>
        <v>288926.03480342421</v>
      </c>
      <c r="G24" s="33">
        <f t="shared" si="5"/>
        <v>395880.78372154542</v>
      </c>
      <c r="H24" s="33">
        <f t="shared" ca="1" si="6"/>
        <v>326529.9740739293</v>
      </c>
      <c r="I24" s="35">
        <f t="shared" si="7"/>
        <v>0.56172288252897262</v>
      </c>
      <c r="J24" s="35">
        <f t="shared" si="7"/>
        <v>0.24359486883890882</v>
      </c>
      <c r="K24" s="35">
        <f t="shared" si="7"/>
        <v>3.6411468903397873E-2</v>
      </c>
      <c r="L24" s="35">
        <f t="shared" ca="1" si="7"/>
        <v>0.14514817594938656</v>
      </c>
    </row>
    <row r="25" spans="2:12" x14ac:dyDescent="0.25">
      <c r="B25" s="26">
        <f t="shared" si="0"/>
        <v>7</v>
      </c>
      <c r="C25" s="29">
        <f t="shared" si="1"/>
        <v>45352</v>
      </c>
      <c r="D25" s="33">
        <f t="shared" si="2"/>
        <v>441334.21046054357</v>
      </c>
      <c r="E25" s="33">
        <f t="shared" si="3"/>
        <v>184777.90021240711</v>
      </c>
      <c r="F25" s="33">
        <f t="shared" si="4"/>
        <v>318900.86494209047</v>
      </c>
      <c r="G25" s="33">
        <f t="shared" si="5"/>
        <v>540121.06186953187</v>
      </c>
      <c r="H25" s="33">
        <f t="shared" ca="1" si="6"/>
        <v>391006.85591469856</v>
      </c>
      <c r="I25" s="35">
        <f t="shared" si="7"/>
        <v>0.58131978932794126</v>
      </c>
      <c r="J25" s="35">
        <f t="shared" si="7"/>
        <v>0.27741639468803192</v>
      </c>
      <c r="K25" s="35">
        <f t="shared" si="7"/>
        <v>0.22383683174232444</v>
      </c>
      <c r="L25" s="35">
        <f t="shared" ca="1" si="7"/>
        <v>0.11403456462921178</v>
      </c>
    </row>
    <row r="26" spans="2:12" x14ac:dyDescent="0.25">
      <c r="B26" s="26">
        <f t="shared" si="0"/>
        <v>8</v>
      </c>
      <c r="C26" s="29">
        <f t="shared" si="1"/>
        <v>45383</v>
      </c>
      <c r="D26" s="33">
        <f t="shared" si="2"/>
        <v>550157.88051688671</v>
      </c>
      <c r="E26" s="33">
        <f t="shared" si="3"/>
        <v>193149.96007275581</v>
      </c>
      <c r="F26" s="33">
        <f t="shared" si="4"/>
        <v>333349.87171044905</v>
      </c>
      <c r="G26" s="33">
        <f t="shared" si="5"/>
        <v>557020.58034660807</v>
      </c>
      <c r="H26" s="33">
        <f t="shared" ca="1" si="6"/>
        <v>429598.53276454931</v>
      </c>
      <c r="I26" s="35">
        <f t="shared" si="7"/>
        <v>0.64891903413019059</v>
      </c>
      <c r="J26" s="35">
        <f t="shared" si="7"/>
        <v>0.39408325588782128</v>
      </c>
      <c r="K26" s="35">
        <f t="shared" si="7"/>
        <v>1.2474055308039366E-2</v>
      </c>
      <c r="L26" s="35">
        <f t="shared" ca="1" si="7"/>
        <v>0.21913590993019852</v>
      </c>
    </row>
    <row r="27" spans="2:12" x14ac:dyDescent="0.25">
      <c r="B27" s="22" t="s">
        <v>188</v>
      </c>
      <c r="I27" s="36">
        <f>AVERAGE(I19:I26)</f>
        <v>0.52076020235779485</v>
      </c>
      <c r="J27" s="36">
        <f>AVERAGE(J19:J26)</f>
        <v>0.17289900032910044</v>
      </c>
      <c r="K27" s="36">
        <f>AVERAGE(K19:K26)</f>
        <v>7.6806143078692643E-2</v>
      </c>
      <c r="L27" s="36">
        <f ca="1">AVERAGE(L19:L26)</f>
        <v>8.62873633395152E-2</v>
      </c>
    </row>
    <row r="28" spans="2:12" x14ac:dyDescent="0.25">
      <c r="B28" s="21" t="s">
        <v>189</v>
      </c>
    </row>
  </sheetData>
  <dataValidations count="1">
    <dataValidation type="whole" showErrorMessage="1" errorTitle="Test number" error="Enter a whole number from 1 to the number of tests used (Settings)." sqref="C5" xr:uid="{00000000-0002-0000-0300-000000000000}">
      <formula1>1</formula1>
      <formula2>TestsUsed</formula2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U264"/>
  <sheetViews>
    <sheetView showGridLines="0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6" customWidth="1"/>
    <col min="3" max="3" width="8" customWidth="1"/>
    <col min="4" max="4" width="9" customWidth="1"/>
    <col min="5" max="5" width="8" customWidth="1"/>
    <col min="6" max="6" width="9" customWidth="1"/>
    <col min="7" max="7" width="11" customWidth="1"/>
    <col min="8" max="8" width="8" customWidth="1"/>
    <col min="9" max="9" width="11" customWidth="1"/>
    <col min="10" max="11" width="12" customWidth="1"/>
    <col min="12" max="13" width="9" customWidth="1"/>
    <col min="14" max="15" width="12" customWidth="1"/>
    <col min="16" max="21" width="9" customWidth="1"/>
  </cols>
  <sheetData>
    <row r="1" spans="1:21" ht="18" x14ac:dyDescent="0.25">
      <c r="A1" s="13" t="s">
        <v>190</v>
      </c>
    </row>
    <row r="2" spans="1:21" x14ac:dyDescent="0.25">
      <c r="A2" s="14" t="s">
        <v>191</v>
      </c>
    </row>
    <row r="3" spans="1:21" x14ac:dyDescent="0.25">
      <c r="A3" s="14" t="s">
        <v>192</v>
      </c>
    </row>
    <row r="7" spans="1:21" ht="72" customHeight="1" x14ac:dyDescent="0.25">
      <c r="A7" s="15" t="s">
        <v>193</v>
      </c>
      <c r="B7" s="15" t="s">
        <v>170</v>
      </c>
      <c r="C7" s="15" t="s">
        <v>194</v>
      </c>
      <c r="D7" s="15" t="s">
        <v>195</v>
      </c>
      <c r="E7" s="15" t="s">
        <v>196</v>
      </c>
      <c r="F7" s="15" t="s">
        <v>197</v>
      </c>
      <c r="G7" s="15" t="s">
        <v>198</v>
      </c>
      <c r="H7" s="15" t="s">
        <v>199</v>
      </c>
      <c r="I7" s="15" t="s">
        <v>200</v>
      </c>
      <c r="J7" s="15" t="s">
        <v>201</v>
      </c>
      <c r="K7" s="15" t="s">
        <v>202</v>
      </c>
      <c r="L7" s="15" t="s">
        <v>203</v>
      </c>
      <c r="M7" s="15" t="s">
        <v>204</v>
      </c>
      <c r="N7" s="15" t="s">
        <v>205</v>
      </c>
      <c r="O7" s="15" t="s">
        <v>206</v>
      </c>
      <c r="P7" s="15" t="s">
        <v>207</v>
      </c>
      <c r="Q7" s="15" t="s">
        <v>208</v>
      </c>
      <c r="R7" s="15" t="s">
        <v>209</v>
      </c>
      <c r="S7" s="15" t="s">
        <v>210</v>
      </c>
      <c r="T7" s="15" t="s">
        <v>211</v>
      </c>
      <c r="U7" s="15" t="s">
        <v>212</v>
      </c>
    </row>
    <row r="8" spans="1:21" ht="32.1" customHeight="1" x14ac:dyDescent="0.25">
      <c r="A8" s="4" t="s">
        <v>213</v>
      </c>
      <c r="B8" s="4" t="s">
        <v>5</v>
      </c>
      <c r="C8" s="4" t="s">
        <v>214</v>
      </c>
      <c r="D8" s="4" t="s">
        <v>215</v>
      </c>
      <c r="E8" s="4" t="s">
        <v>216</v>
      </c>
      <c r="F8" s="4" t="s">
        <v>217</v>
      </c>
      <c r="G8" s="4" t="s">
        <v>218</v>
      </c>
      <c r="H8" s="4" t="s">
        <v>219</v>
      </c>
      <c r="I8" s="4" t="s">
        <v>178</v>
      </c>
      <c r="J8" s="4" t="s">
        <v>179</v>
      </c>
      <c r="K8" s="4" t="s">
        <v>180</v>
      </c>
      <c r="L8" s="4" t="s">
        <v>220</v>
      </c>
      <c r="M8" s="4" t="s">
        <v>221</v>
      </c>
      <c r="N8" s="4" t="s">
        <v>222</v>
      </c>
      <c r="O8" s="4" t="s">
        <v>223</v>
      </c>
      <c r="P8" s="4" t="s">
        <v>184</v>
      </c>
      <c r="Q8" s="4" t="s">
        <v>185</v>
      </c>
      <c r="R8" s="4" t="s">
        <v>186</v>
      </c>
      <c r="S8" s="4" t="s">
        <v>224</v>
      </c>
      <c r="T8" s="4" t="s">
        <v>225</v>
      </c>
      <c r="U8" s="4" t="s">
        <v>226</v>
      </c>
    </row>
    <row r="9" spans="1:21" x14ac:dyDescent="0.25">
      <c r="A9" s="26">
        <f t="shared" ref="A9:A72" si="0">INT((ROW()-ROW($A$9))/Horizon)+1</f>
        <v>1</v>
      </c>
      <c r="B9" s="26">
        <f t="shared" ref="B9:B72" si="1">MOD(ROW()-ROW($A$9),Horizon)+1</f>
        <v>1</v>
      </c>
      <c r="C9" s="26">
        <f t="shared" ref="C9:C72" si="2">(NMonths-MinTrain)-(A9-1)</f>
        <v>39</v>
      </c>
      <c r="D9" s="26">
        <f t="shared" ref="D9:D72" si="3">IF(C9&lt;=TestsUsed+Horizon-1,1,0)</f>
        <v>0</v>
      </c>
      <c r="E9" s="26" t="str">
        <f t="shared" ref="E9:E72" si="4">IF(D9=1,TestsUsed+Horizon-C9,"")</f>
        <v/>
      </c>
      <c r="F9" s="26">
        <f t="shared" ref="F9:F72" si="5">NMonths-C9</f>
        <v>25</v>
      </c>
      <c r="G9" s="29">
        <f t="shared" ref="G9:G72" si="6">INDEX(Months,F9+1)</f>
        <v>44228</v>
      </c>
      <c r="H9" s="26">
        <f t="shared" ref="H9:H72" si="7">F9+B9</f>
        <v>26</v>
      </c>
      <c r="I9" s="29">
        <f t="shared" ref="I9:I72" si="8">INDEX(Months,H9)</f>
        <v>44228</v>
      </c>
      <c r="J9" s="33">
        <f t="shared" ref="J9:J72" si="9">INDEX(Sales,H9)</f>
        <v>56663.070067644119</v>
      </c>
      <c r="K9" s="33">
        <f t="shared" ref="K9:K72" si="10">INDEX(Sales,H9-Season)</f>
        <v>25472.470043897629</v>
      </c>
      <c r="L9" s="19">
        <f t="shared" ref="L9:L72" si="11">INDEX(Sales,F9)/INDEX(Sales,F9-Season)</f>
        <v>2.1413541941544518</v>
      </c>
      <c r="M9" s="19">
        <f t="shared" ref="M9:M72" si="12">MIN(MAX(L9,ClipLow),ClipHigh)</f>
        <v>2.1413541941544518</v>
      </c>
      <c r="N9" s="33">
        <f t="shared" ref="N9:N72" si="13">K9*M9</f>
        <v>54545.580563973825</v>
      </c>
      <c r="O9" s="33">
        <f t="shared" ref="O9:O72" si="14">INDEX(HWTable,MATCH(C9,HWOffsets,0),B9)</f>
        <v>77188.375524938514</v>
      </c>
      <c r="P9" s="35">
        <f t="shared" ref="P9:P72" si="15">ABS(K9-J9)/J9</f>
        <v>0.5504572905511701</v>
      </c>
      <c r="Q9" s="35">
        <f t="shared" ref="Q9:Q72" si="16">ABS(N9-J9)/J9</f>
        <v>3.7369833670191983E-2</v>
      </c>
      <c r="R9" s="35">
        <f t="shared" ref="R9:R72" si="17">ABS(O9-J9)/J9</f>
        <v>0.36223426356516469</v>
      </c>
      <c r="S9" s="35">
        <f t="shared" ref="S9:S72" si="18">K9/J9-1</f>
        <v>-0.55045729055117021</v>
      </c>
      <c r="T9" s="35">
        <f t="shared" ref="T9:T72" si="19">N9/J9-1</f>
        <v>-3.7369833670191976E-2</v>
      </c>
      <c r="U9" s="35">
        <f t="shared" ref="U9:U72" si="20">O9/J9-1</f>
        <v>0.36223426356516475</v>
      </c>
    </row>
    <row r="10" spans="1:21" x14ac:dyDescent="0.25">
      <c r="A10" s="26">
        <f t="shared" si="0"/>
        <v>1</v>
      </c>
      <c r="B10" s="26">
        <f t="shared" si="1"/>
        <v>2</v>
      </c>
      <c r="C10" s="26">
        <f t="shared" si="2"/>
        <v>39</v>
      </c>
      <c r="D10" s="26">
        <f t="shared" si="3"/>
        <v>0</v>
      </c>
      <c r="E10" s="26" t="str">
        <f t="shared" si="4"/>
        <v/>
      </c>
      <c r="F10" s="26">
        <f t="shared" si="5"/>
        <v>25</v>
      </c>
      <c r="G10" s="29">
        <f t="shared" si="6"/>
        <v>44228</v>
      </c>
      <c r="H10" s="26">
        <f t="shared" si="7"/>
        <v>27</v>
      </c>
      <c r="I10" s="29">
        <f t="shared" si="8"/>
        <v>44256</v>
      </c>
      <c r="J10" s="33">
        <f t="shared" si="9"/>
        <v>60978.700088500977</v>
      </c>
      <c r="K10" s="33">
        <f t="shared" si="10"/>
        <v>33801.990017652512</v>
      </c>
      <c r="L10" s="19">
        <f t="shared" si="11"/>
        <v>2.1413541941544518</v>
      </c>
      <c r="M10" s="19">
        <f t="shared" si="12"/>
        <v>2.1413541941544518</v>
      </c>
      <c r="N10" s="33">
        <f t="shared" si="13"/>
        <v>72382.03309506712</v>
      </c>
      <c r="O10" s="33">
        <f t="shared" si="14"/>
        <v>160573.39527397929</v>
      </c>
      <c r="P10" s="35">
        <f t="shared" si="15"/>
        <v>0.44567545768285899</v>
      </c>
      <c r="Q10" s="35">
        <f t="shared" si="16"/>
        <v>0.18700518361355689</v>
      </c>
      <c r="R10" s="35">
        <f t="shared" si="17"/>
        <v>1.6332702245363102</v>
      </c>
      <c r="S10" s="35">
        <f t="shared" si="18"/>
        <v>-0.44567545768285899</v>
      </c>
      <c r="T10" s="35">
        <f t="shared" si="19"/>
        <v>0.18700518361355689</v>
      </c>
      <c r="U10" s="35">
        <f t="shared" si="20"/>
        <v>1.6332702245363104</v>
      </c>
    </row>
    <row r="11" spans="1:21" x14ac:dyDescent="0.25">
      <c r="A11" s="26">
        <f t="shared" si="0"/>
        <v>1</v>
      </c>
      <c r="B11" s="26">
        <f t="shared" si="1"/>
        <v>3</v>
      </c>
      <c r="C11" s="26">
        <f t="shared" si="2"/>
        <v>39</v>
      </c>
      <c r="D11" s="26">
        <f t="shared" si="3"/>
        <v>0</v>
      </c>
      <c r="E11" s="26" t="str">
        <f t="shared" si="4"/>
        <v/>
      </c>
      <c r="F11" s="26">
        <f t="shared" si="5"/>
        <v>25</v>
      </c>
      <c r="G11" s="29">
        <f t="shared" si="6"/>
        <v>44228</v>
      </c>
      <c r="H11" s="26">
        <f t="shared" si="7"/>
        <v>28</v>
      </c>
      <c r="I11" s="29">
        <f t="shared" si="8"/>
        <v>44287</v>
      </c>
      <c r="J11" s="33">
        <f t="shared" si="9"/>
        <v>70861.690135478973</v>
      </c>
      <c r="K11" s="33">
        <f t="shared" si="10"/>
        <v>34806.270035743713</v>
      </c>
      <c r="L11" s="19">
        <f t="shared" si="11"/>
        <v>2.1413541941544518</v>
      </c>
      <c r="M11" s="19">
        <f t="shared" si="12"/>
        <v>2.1413541941544518</v>
      </c>
      <c r="N11" s="33">
        <f t="shared" si="13"/>
        <v>74532.552323912227</v>
      </c>
      <c r="O11" s="33">
        <f t="shared" si="14"/>
        <v>180977.36460195351</v>
      </c>
      <c r="P11" s="35">
        <f t="shared" si="15"/>
        <v>0.50881400134263888</v>
      </c>
      <c r="Q11" s="35">
        <f t="shared" si="16"/>
        <v>5.1803198334883192E-2</v>
      </c>
      <c r="R11" s="35">
        <f t="shared" si="17"/>
        <v>1.5539521320469027</v>
      </c>
      <c r="S11" s="35">
        <f t="shared" si="18"/>
        <v>-0.50881400134263888</v>
      </c>
      <c r="T11" s="35">
        <f t="shared" si="19"/>
        <v>5.1803198334883227E-2</v>
      </c>
      <c r="U11" s="35">
        <f t="shared" si="20"/>
        <v>1.553952132046903</v>
      </c>
    </row>
    <row r="12" spans="1:21" x14ac:dyDescent="0.25">
      <c r="A12" s="26">
        <f t="shared" si="0"/>
        <v>1</v>
      </c>
      <c r="B12" s="26">
        <f t="shared" si="1"/>
        <v>4</v>
      </c>
      <c r="C12" s="26">
        <f t="shared" si="2"/>
        <v>39</v>
      </c>
      <c r="D12" s="26">
        <f t="shared" si="3"/>
        <v>0</v>
      </c>
      <c r="E12" s="26" t="str">
        <f t="shared" si="4"/>
        <v/>
      </c>
      <c r="F12" s="26">
        <f t="shared" si="5"/>
        <v>25</v>
      </c>
      <c r="G12" s="29">
        <f t="shared" si="6"/>
        <v>44228</v>
      </c>
      <c r="H12" s="26">
        <f t="shared" si="7"/>
        <v>29</v>
      </c>
      <c r="I12" s="29">
        <f t="shared" si="8"/>
        <v>44317</v>
      </c>
      <c r="J12" s="33">
        <f t="shared" si="9"/>
        <v>74001.790117025375</v>
      </c>
      <c r="K12" s="33">
        <f t="shared" si="10"/>
        <v>36725.070060968399</v>
      </c>
      <c r="L12" s="19">
        <f t="shared" si="11"/>
        <v>2.1413541941544518</v>
      </c>
      <c r="M12" s="19">
        <f t="shared" si="12"/>
        <v>2.1413541941544518</v>
      </c>
      <c r="N12" s="33">
        <f t="shared" si="13"/>
        <v>78641.382805670772</v>
      </c>
      <c r="O12" s="33">
        <f t="shared" si="14"/>
        <v>201004.14792281721</v>
      </c>
      <c r="P12" s="35">
        <f t="shared" si="15"/>
        <v>0.50372727466603306</v>
      </c>
      <c r="Q12" s="35">
        <f t="shared" si="16"/>
        <v>6.2695681838350267E-2</v>
      </c>
      <c r="R12" s="35">
        <f t="shared" si="17"/>
        <v>1.7162065620973779</v>
      </c>
      <c r="S12" s="35">
        <f t="shared" si="18"/>
        <v>-0.50372727466603306</v>
      </c>
      <c r="T12" s="35">
        <f t="shared" si="19"/>
        <v>6.269568183835017E-2</v>
      </c>
      <c r="U12" s="35">
        <f t="shared" si="20"/>
        <v>1.7162065620973781</v>
      </c>
    </row>
    <row r="13" spans="1:21" x14ac:dyDescent="0.25">
      <c r="A13" s="26">
        <f t="shared" si="0"/>
        <v>1</v>
      </c>
      <c r="B13" s="26">
        <f t="shared" si="1"/>
        <v>5</v>
      </c>
      <c r="C13" s="26">
        <f t="shared" si="2"/>
        <v>39</v>
      </c>
      <c r="D13" s="26">
        <f t="shared" si="3"/>
        <v>0</v>
      </c>
      <c r="E13" s="26" t="str">
        <f t="shared" si="4"/>
        <v/>
      </c>
      <c r="F13" s="26">
        <f t="shared" si="5"/>
        <v>25</v>
      </c>
      <c r="G13" s="29">
        <f t="shared" si="6"/>
        <v>44228</v>
      </c>
      <c r="H13" s="26">
        <f t="shared" si="7"/>
        <v>30</v>
      </c>
      <c r="I13" s="29">
        <f t="shared" si="8"/>
        <v>44348</v>
      </c>
      <c r="J13" s="33">
        <f t="shared" si="9"/>
        <v>74855.450057983398</v>
      </c>
      <c r="K13" s="33">
        <f t="shared" si="10"/>
        <v>36275.650037527077</v>
      </c>
      <c r="L13" s="19">
        <f t="shared" si="11"/>
        <v>2.1413541941544518</v>
      </c>
      <c r="M13" s="19">
        <f t="shared" si="12"/>
        <v>2.1413541941544518</v>
      </c>
      <c r="N13" s="33">
        <f t="shared" si="13"/>
        <v>77679.015353537703</v>
      </c>
      <c r="O13" s="33">
        <f t="shared" si="14"/>
        <v>224012.41527674781</v>
      </c>
      <c r="P13" s="35">
        <f t="shared" si="15"/>
        <v>0.5153906628117555</v>
      </c>
      <c r="Q13" s="35">
        <f t="shared" si="16"/>
        <v>3.7720236714456422E-2</v>
      </c>
      <c r="R13" s="35">
        <f t="shared" si="17"/>
        <v>1.9925999389921067</v>
      </c>
      <c r="S13" s="35">
        <f t="shared" si="18"/>
        <v>-0.5153906628117555</v>
      </c>
      <c r="T13" s="35">
        <f t="shared" si="19"/>
        <v>3.7720236714456457E-2</v>
      </c>
      <c r="U13" s="35">
        <f t="shared" si="20"/>
        <v>1.9925999389921065</v>
      </c>
    </row>
    <row r="14" spans="1:21" x14ac:dyDescent="0.25">
      <c r="A14" s="26">
        <f t="shared" si="0"/>
        <v>1</v>
      </c>
      <c r="B14" s="26">
        <f t="shared" si="1"/>
        <v>6</v>
      </c>
      <c r="C14" s="26">
        <f t="shared" si="2"/>
        <v>39</v>
      </c>
      <c r="D14" s="26">
        <f t="shared" si="3"/>
        <v>0</v>
      </c>
      <c r="E14" s="26" t="str">
        <f t="shared" si="4"/>
        <v/>
      </c>
      <c r="F14" s="26">
        <f t="shared" si="5"/>
        <v>25</v>
      </c>
      <c r="G14" s="29">
        <f t="shared" si="6"/>
        <v>44228</v>
      </c>
      <c r="H14" s="26">
        <f t="shared" si="7"/>
        <v>31</v>
      </c>
      <c r="I14" s="29">
        <f t="shared" si="8"/>
        <v>44378</v>
      </c>
      <c r="J14" s="33">
        <f t="shared" si="9"/>
        <v>80016.69003367424</v>
      </c>
      <c r="K14" s="33">
        <f t="shared" si="10"/>
        <v>44275.790027856827</v>
      </c>
      <c r="L14" s="19">
        <f t="shared" si="11"/>
        <v>2.1413541941544518</v>
      </c>
      <c r="M14" s="19">
        <f t="shared" si="12"/>
        <v>2.1413541941544518</v>
      </c>
      <c r="N14" s="33">
        <f t="shared" si="13"/>
        <v>94810.148675653065</v>
      </c>
      <c r="O14" s="33">
        <f t="shared" si="14"/>
        <v>275432.89872154268</v>
      </c>
      <c r="P14" s="35">
        <f t="shared" si="15"/>
        <v>0.44666806375990065</v>
      </c>
      <c r="Q14" s="35">
        <f t="shared" si="16"/>
        <v>0.18487966242734039</v>
      </c>
      <c r="R14" s="35">
        <f t="shared" si="17"/>
        <v>2.4421931050338301</v>
      </c>
      <c r="S14" s="35">
        <f t="shared" si="18"/>
        <v>-0.44666806375990065</v>
      </c>
      <c r="T14" s="35">
        <f t="shared" si="19"/>
        <v>0.18487966242734033</v>
      </c>
      <c r="U14" s="35">
        <f t="shared" si="20"/>
        <v>2.4421931050338301</v>
      </c>
    </row>
    <row r="15" spans="1:21" x14ac:dyDescent="0.25">
      <c r="A15" s="26">
        <f t="shared" si="0"/>
        <v>1</v>
      </c>
      <c r="B15" s="26">
        <f t="shared" si="1"/>
        <v>7</v>
      </c>
      <c r="C15" s="26">
        <f t="shared" si="2"/>
        <v>39</v>
      </c>
      <c r="D15" s="26">
        <f t="shared" si="3"/>
        <v>0</v>
      </c>
      <c r="E15" s="26" t="str">
        <f t="shared" si="4"/>
        <v/>
      </c>
      <c r="F15" s="26">
        <f t="shared" si="5"/>
        <v>25</v>
      </c>
      <c r="G15" s="29">
        <f t="shared" si="6"/>
        <v>44228</v>
      </c>
      <c r="H15" s="26">
        <f t="shared" si="7"/>
        <v>32</v>
      </c>
      <c r="I15" s="29">
        <f t="shared" si="8"/>
        <v>44409</v>
      </c>
      <c r="J15" s="33">
        <f t="shared" si="9"/>
        <v>80303.24014878273</v>
      </c>
      <c r="K15" s="33">
        <f t="shared" si="10"/>
        <v>46063.200017929077</v>
      </c>
      <c r="L15" s="19">
        <f t="shared" si="11"/>
        <v>2.1413541941544518</v>
      </c>
      <c r="M15" s="19">
        <f t="shared" si="12"/>
        <v>2.1413541941544518</v>
      </c>
      <c r="N15" s="33">
        <f t="shared" si="13"/>
        <v>98637.626554567847</v>
      </c>
      <c r="O15" s="33">
        <f t="shared" si="14"/>
        <v>302988.52982359368</v>
      </c>
      <c r="P15" s="35">
        <f t="shared" si="15"/>
        <v>0.42638429118694382</v>
      </c>
      <c r="Q15" s="35">
        <f t="shared" si="16"/>
        <v>0.22831440389971658</v>
      </c>
      <c r="R15" s="35">
        <f t="shared" si="17"/>
        <v>2.7730548513637592</v>
      </c>
      <c r="S15" s="35">
        <f t="shared" si="18"/>
        <v>-0.42638429118694376</v>
      </c>
      <c r="T15" s="35">
        <f t="shared" si="19"/>
        <v>0.22831440389971669</v>
      </c>
      <c r="U15" s="35">
        <f t="shared" si="20"/>
        <v>2.7730548513637592</v>
      </c>
    </row>
    <row r="16" spans="1:21" x14ac:dyDescent="0.25">
      <c r="A16" s="37">
        <f t="shared" si="0"/>
        <v>1</v>
      </c>
      <c r="B16" s="37">
        <f t="shared" si="1"/>
        <v>8</v>
      </c>
      <c r="C16" s="37">
        <f t="shared" si="2"/>
        <v>39</v>
      </c>
      <c r="D16" s="37">
        <f t="shared" si="3"/>
        <v>0</v>
      </c>
      <c r="E16" s="37" t="str">
        <f t="shared" si="4"/>
        <v/>
      </c>
      <c r="F16" s="37">
        <f t="shared" si="5"/>
        <v>25</v>
      </c>
      <c r="G16" s="38">
        <f t="shared" si="6"/>
        <v>44228</v>
      </c>
      <c r="H16" s="37">
        <f t="shared" si="7"/>
        <v>33</v>
      </c>
      <c r="I16" s="38">
        <f t="shared" si="8"/>
        <v>44440</v>
      </c>
      <c r="J16" s="39">
        <f t="shared" si="9"/>
        <v>84924.860115528107</v>
      </c>
      <c r="K16" s="39">
        <f t="shared" si="10"/>
        <v>42591.050033092499</v>
      </c>
      <c r="L16" s="40">
        <f t="shared" si="11"/>
        <v>2.1413541941544518</v>
      </c>
      <c r="M16" s="40">
        <f t="shared" si="12"/>
        <v>2.1413541941544518</v>
      </c>
      <c r="N16" s="39">
        <f t="shared" si="13"/>
        <v>91202.523621804721</v>
      </c>
      <c r="O16" s="39">
        <f t="shared" si="14"/>
        <v>300603.22374393948</v>
      </c>
      <c r="P16" s="41">
        <f t="shared" si="15"/>
        <v>0.49848548499045536</v>
      </c>
      <c r="Q16" s="41">
        <f t="shared" si="16"/>
        <v>7.3920210145024118E-2</v>
      </c>
      <c r="R16" s="41">
        <f t="shared" si="17"/>
        <v>2.5396375494173538</v>
      </c>
      <c r="S16" s="41">
        <f t="shared" si="18"/>
        <v>-0.49848548499045542</v>
      </c>
      <c r="T16" s="41">
        <f t="shared" si="19"/>
        <v>7.3920210145024035E-2</v>
      </c>
      <c r="U16" s="41">
        <f t="shared" si="20"/>
        <v>2.5396375494173538</v>
      </c>
    </row>
    <row r="17" spans="1:21" x14ac:dyDescent="0.25">
      <c r="A17" s="26">
        <f t="shared" si="0"/>
        <v>2</v>
      </c>
      <c r="B17" s="26">
        <f t="shared" si="1"/>
        <v>1</v>
      </c>
      <c r="C17" s="26">
        <f t="shared" si="2"/>
        <v>38</v>
      </c>
      <c r="D17" s="26">
        <f t="shared" si="3"/>
        <v>0</v>
      </c>
      <c r="E17" s="26" t="str">
        <f t="shared" si="4"/>
        <v/>
      </c>
      <c r="F17" s="26">
        <f t="shared" si="5"/>
        <v>26</v>
      </c>
      <c r="G17" s="29">
        <f t="shared" si="6"/>
        <v>44256</v>
      </c>
      <c r="H17" s="26">
        <f t="shared" si="7"/>
        <v>27</v>
      </c>
      <c r="I17" s="29">
        <f t="shared" si="8"/>
        <v>44256</v>
      </c>
      <c r="J17" s="33">
        <f t="shared" si="9"/>
        <v>60978.700088500977</v>
      </c>
      <c r="K17" s="33">
        <f t="shared" si="10"/>
        <v>33801.990017652512</v>
      </c>
      <c r="L17" s="19">
        <f t="shared" si="11"/>
        <v>2.2244827443115884</v>
      </c>
      <c r="M17" s="19">
        <f t="shared" si="12"/>
        <v>2.2244827443115884</v>
      </c>
      <c r="N17" s="33">
        <f t="shared" si="13"/>
        <v>75191.943517660577</v>
      </c>
      <c r="O17" s="33">
        <f t="shared" si="14"/>
        <v>117875.0221070336</v>
      </c>
      <c r="P17" s="35">
        <f t="shared" si="15"/>
        <v>0.44567545768285899</v>
      </c>
      <c r="Q17" s="35">
        <f t="shared" si="16"/>
        <v>0.23308537913289915</v>
      </c>
      <c r="R17" s="35">
        <f t="shared" si="17"/>
        <v>0.93305239265442808</v>
      </c>
      <c r="S17" s="35">
        <f t="shared" si="18"/>
        <v>-0.44567545768285899</v>
      </c>
      <c r="T17" s="35">
        <f t="shared" si="19"/>
        <v>0.23308537913289906</v>
      </c>
      <c r="U17" s="35">
        <f t="shared" si="20"/>
        <v>0.93305239265442808</v>
      </c>
    </row>
    <row r="18" spans="1:21" x14ac:dyDescent="0.25">
      <c r="A18" s="26">
        <f t="shared" si="0"/>
        <v>2</v>
      </c>
      <c r="B18" s="26">
        <f t="shared" si="1"/>
        <v>2</v>
      </c>
      <c r="C18" s="26">
        <f t="shared" si="2"/>
        <v>38</v>
      </c>
      <c r="D18" s="26">
        <f t="shared" si="3"/>
        <v>0</v>
      </c>
      <c r="E18" s="26" t="str">
        <f t="shared" si="4"/>
        <v/>
      </c>
      <c r="F18" s="26">
        <f t="shared" si="5"/>
        <v>26</v>
      </c>
      <c r="G18" s="29">
        <f t="shared" si="6"/>
        <v>44256</v>
      </c>
      <c r="H18" s="26">
        <f t="shared" si="7"/>
        <v>28</v>
      </c>
      <c r="I18" s="29">
        <f t="shared" si="8"/>
        <v>44287</v>
      </c>
      <c r="J18" s="33">
        <f t="shared" si="9"/>
        <v>70861.690135478973</v>
      </c>
      <c r="K18" s="33">
        <f t="shared" si="10"/>
        <v>34806.270035743713</v>
      </c>
      <c r="L18" s="19">
        <f t="shared" si="11"/>
        <v>2.2244827443115884</v>
      </c>
      <c r="M18" s="19">
        <f t="shared" si="12"/>
        <v>2.2244827443115884</v>
      </c>
      <c r="N18" s="33">
        <f t="shared" si="13"/>
        <v>77425.947088361383</v>
      </c>
      <c r="O18" s="33">
        <f t="shared" si="14"/>
        <v>132853.31003183909</v>
      </c>
      <c r="P18" s="35">
        <f t="shared" si="15"/>
        <v>0.50881400134263888</v>
      </c>
      <c r="Q18" s="35">
        <f t="shared" si="16"/>
        <v>9.2634778260754794E-2</v>
      </c>
      <c r="R18" s="35">
        <f t="shared" si="17"/>
        <v>0.87482559021439721</v>
      </c>
      <c r="S18" s="35">
        <f t="shared" si="18"/>
        <v>-0.50881400134263888</v>
      </c>
      <c r="T18" s="35">
        <f t="shared" si="19"/>
        <v>9.2634778260754835E-2</v>
      </c>
      <c r="U18" s="35">
        <f t="shared" si="20"/>
        <v>0.8748255902143971</v>
      </c>
    </row>
    <row r="19" spans="1:21" x14ac:dyDescent="0.25">
      <c r="A19" s="26">
        <f t="shared" si="0"/>
        <v>2</v>
      </c>
      <c r="B19" s="26">
        <f t="shared" si="1"/>
        <v>3</v>
      </c>
      <c r="C19" s="26">
        <f t="shared" si="2"/>
        <v>38</v>
      </c>
      <c r="D19" s="26">
        <f t="shared" si="3"/>
        <v>0</v>
      </c>
      <c r="E19" s="26" t="str">
        <f t="shared" si="4"/>
        <v/>
      </c>
      <c r="F19" s="26">
        <f t="shared" si="5"/>
        <v>26</v>
      </c>
      <c r="G19" s="29">
        <f t="shared" si="6"/>
        <v>44256</v>
      </c>
      <c r="H19" s="26">
        <f t="shared" si="7"/>
        <v>29</v>
      </c>
      <c r="I19" s="29">
        <f t="shared" si="8"/>
        <v>44317</v>
      </c>
      <c r="J19" s="33">
        <f t="shared" si="9"/>
        <v>74001.790117025375</v>
      </c>
      <c r="K19" s="33">
        <f t="shared" si="10"/>
        <v>36725.070060968399</v>
      </c>
      <c r="L19" s="19">
        <f t="shared" si="11"/>
        <v>2.2244827443115884</v>
      </c>
      <c r="M19" s="19">
        <f t="shared" si="12"/>
        <v>2.2244827443115884</v>
      </c>
      <c r="N19" s="33">
        <f t="shared" si="13"/>
        <v>81694.284634258336</v>
      </c>
      <c r="O19" s="33">
        <f t="shared" si="14"/>
        <v>147554.67614444101</v>
      </c>
      <c r="P19" s="35">
        <f t="shared" si="15"/>
        <v>0.50372727466603306</v>
      </c>
      <c r="Q19" s="35">
        <f t="shared" si="16"/>
        <v>0.10395011397789378</v>
      </c>
      <c r="R19" s="35">
        <f t="shared" si="17"/>
        <v>0.99393387526301924</v>
      </c>
      <c r="S19" s="35">
        <f t="shared" si="18"/>
        <v>-0.50372727466603306</v>
      </c>
      <c r="T19" s="35">
        <f t="shared" si="19"/>
        <v>0.10395011397789378</v>
      </c>
      <c r="U19" s="35">
        <f t="shared" si="20"/>
        <v>0.99393387526301935</v>
      </c>
    </row>
    <row r="20" spans="1:21" x14ac:dyDescent="0.25">
      <c r="A20" s="26">
        <f t="shared" si="0"/>
        <v>2</v>
      </c>
      <c r="B20" s="26">
        <f t="shared" si="1"/>
        <v>4</v>
      </c>
      <c r="C20" s="26">
        <f t="shared" si="2"/>
        <v>38</v>
      </c>
      <c r="D20" s="26">
        <f t="shared" si="3"/>
        <v>0</v>
      </c>
      <c r="E20" s="26" t="str">
        <f t="shared" si="4"/>
        <v/>
      </c>
      <c r="F20" s="26">
        <f t="shared" si="5"/>
        <v>26</v>
      </c>
      <c r="G20" s="29">
        <f t="shared" si="6"/>
        <v>44256</v>
      </c>
      <c r="H20" s="26">
        <f t="shared" si="7"/>
        <v>30</v>
      </c>
      <c r="I20" s="29">
        <f t="shared" si="8"/>
        <v>44348</v>
      </c>
      <c r="J20" s="33">
        <f t="shared" si="9"/>
        <v>74855.450057983398</v>
      </c>
      <c r="K20" s="33">
        <f t="shared" si="10"/>
        <v>36275.650037527077</v>
      </c>
      <c r="L20" s="19">
        <f t="shared" si="11"/>
        <v>2.2244827443115884</v>
      </c>
      <c r="M20" s="19">
        <f t="shared" si="12"/>
        <v>2.2244827443115884</v>
      </c>
      <c r="N20" s="33">
        <f t="shared" si="13"/>
        <v>80694.557547165008</v>
      </c>
      <c r="O20" s="33">
        <f t="shared" si="14"/>
        <v>164444.77728492511</v>
      </c>
      <c r="P20" s="35">
        <f t="shared" si="15"/>
        <v>0.5153906628117555</v>
      </c>
      <c r="Q20" s="35">
        <f t="shared" si="16"/>
        <v>7.8005108307526147E-2</v>
      </c>
      <c r="R20" s="35">
        <f t="shared" si="17"/>
        <v>1.1968310544862848</v>
      </c>
      <c r="S20" s="35">
        <f t="shared" si="18"/>
        <v>-0.5153906628117555</v>
      </c>
      <c r="T20" s="35">
        <f t="shared" si="19"/>
        <v>7.8005108307526161E-2</v>
      </c>
      <c r="U20" s="35">
        <f t="shared" si="20"/>
        <v>1.1968310544862848</v>
      </c>
    </row>
    <row r="21" spans="1:21" x14ac:dyDescent="0.25">
      <c r="A21" s="26">
        <f t="shared" si="0"/>
        <v>2</v>
      </c>
      <c r="B21" s="26">
        <f t="shared" si="1"/>
        <v>5</v>
      </c>
      <c r="C21" s="26">
        <f t="shared" si="2"/>
        <v>38</v>
      </c>
      <c r="D21" s="26">
        <f t="shared" si="3"/>
        <v>0</v>
      </c>
      <c r="E21" s="26" t="str">
        <f t="shared" si="4"/>
        <v/>
      </c>
      <c r="F21" s="26">
        <f t="shared" si="5"/>
        <v>26</v>
      </c>
      <c r="G21" s="29">
        <f t="shared" si="6"/>
        <v>44256</v>
      </c>
      <c r="H21" s="26">
        <f t="shared" si="7"/>
        <v>31</v>
      </c>
      <c r="I21" s="29">
        <f t="shared" si="8"/>
        <v>44378</v>
      </c>
      <c r="J21" s="33">
        <f t="shared" si="9"/>
        <v>80016.69003367424</v>
      </c>
      <c r="K21" s="33">
        <f t="shared" si="10"/>
        <v>44275.790027856827</v>
      </c>
      <c r="L21" s="19">
        <f t="shared" si="11"/>
        <v>2.2244827443115884</v>
      </c>
      <c r="M21" s="19">
        <f t="shared" si="12"/>
        <v>2.2244827443115884</v>
      </c>
      <c r="N21" s="33">
        <f t="shared" si="13"/>
        <v>98490.730907730613</v>
      </c>
      <c r="O21" s="33">
        <f t="shared" si="14"/>
        <v>202191.57880997111</v>
      </c>
      <c r="P21" s="35">
        <f t="shared" si="15"/>
        <v>0.44666806375990065</v>
      </c>
      <c r="Q21" s="35">
        <f t="shared" si="16"/>
        <v>0.23087734404262103</v>
      </c>
      <c r="R21" s="35">
        <f t="shared" si="17"/>
        <v>1.5268675663149871</v>
      </c>
      <c r="S21" s="35">
        <f t="shared" si="18"/>
        <v>-0.44666806375990065</v>
      </c>
      <c r="T21" s="35">
        <f t="shared" si="19"/>
        <v>0.23087734404262106</v>
      </c>
      <c r="U21" s="35">
        <f t="shared" si="20"/>
        <v>1.5268675663149871</v>
      </c>
    </row>
    <row r="22" spans="1:21" x14ac:dyDescent="0.25">
      <c r="A22" s="26">
        <f t="shared" si="0"/>
        <v>2</v>
      </c>
      <c r="B22" s="26">
        <f t="shared" si="1"/>
        <v>6</v>
      </c>
      <c r="C22" s="26">
        <f t="shared" si="2"/>
        <v>38</v>
      </c>
      <c r="D22" s="26">
        <f t="shared" si="3"/>
        <v>0</v>
      </c>
      <c r="E22" s="26" t="str">
        <f t="shared" si="4"/>
        <v/>
      </c>
      <c r="F22" s="26">
        <f t="shared" si="5"/>
        <v>26</v>
      </c>
      <c r="G22" s="29">
        <f t="shared" si="6"/>
        <v>44256</v>
      </c>
      <c r="H22" s="26">
        <f t="shared" si="7"/>
        <v>32</v>
      </c>
      <c r="I22" s="29">
        <f t="shared" si="8"/>
        <v>44409</v>
      </c>
      <c r="J22" s="33">
        <f t="shared" si="9"/>
        <v>80303.24014878273</v>
      </c>
      <c r="K22" s="33">
        <f t="shared" si="10"/>
        <v>46063.200017929077</v>
      </c>
      <c r="L22" s="19">
        <f t="shared" si="11"/>
        <v>2.2244827443115884</v>
      </c>
      <c r="M22" s="19">
        <f t="shared" si="12"/>
        <v>2.2244827443115884</v>
      </c>
      <c r="N22" s="33">
        <f t="shared" si="13"/>
        <v>102466.79358765649</v>
      </c>
      <c r="O22" s="33">
        <f t="shared" si="14"/>
        <v>222419.65473665699</v>
      </c>
      <c r="P22" s="35">
        <f t="shared" si="15"/>
        <v>0.42638429118694382</v>
      </c>
      <c r="Q22" s="35">
        <f t="shared" si="16"/>
        <v>0.27599824612070428</v>
      </c>
      <c r="R22" s="35">
        <f t="shared" si="17"/>
        <v>1.7697469532308594</v>
      </c>
      <c r="S22" s="35">
        <f t="shared" si="18"/>
        <v>-0.42638429118694376</v>
      </c>
      <c r="T22" s="35">
        <f t="shared" si="19"/>
        <v>0.27599824612070423</v>
      </c>
      <c r="U22" s="35">
        <f t="shared" si="20"/>
        <v>1.7697469532308592</v>
      </c>
    </row>
    <row r="23" spans="1:21" x14ac:dyDescent="0.25">
      <c r="A23" s="26">
        <f t="shared" si="0"/>
        <v>2</v>
      </c>
      <c r="B23" s="26">
        <f t="shared" si="1"/>
        <v>7</v>
      </c>
      <c r="C23" s="26">
        <f t="shared" si="2"/>
        <v>38</v>
      </c>
      <c r="D23" s="26">
        <f t="shared" si="3"/>
        <v>0</v>
      </c>
      <c r="E23" s="26" t="str">
        <f t="shared" si="4"/>
        <v/>
      </c>
      <c r="F23" s="26">
        <f t="shared" si="5"/>
        <v>26</v>
      </c>
      <c r="G23" s="29">
        <f t="shared" si="6"/>
        <v>44256</v>
      </c>
      <c r="H23" s="26">
        <f t="shared" si="7"/>
        <v>33</v>
      </c>
      <c r="I23" s="29">
        <f t="shared" si="8"/>
        <v>44440</v>
      </c>
      <c r="J23" s="33">
        <f t="shared" si="9"/>
        <v>84924.860115528107</v>
      </c>
      <c r="K23" s="33">
        <f t="shared" si="10"/>
        <v>42591.050033092499</v>
      </c>
      <c r="L23" s="19">
        <f t="shared" si="11"/>
        <v>2.2244827443115884</v>
      </c>
      <c r="M23" s="19">
        <f t="shared" si="12"/>
        <v>2.2244827443115884</v>
      </c>
      <c r="N23" s="33">
        <f t="shared" si="13"/>
        <v>94743.05586072577</v>
      </c>
      <c r="O23" s="33">
        <f t="shared" si="14"/>
        <v>220668.78044301021</v>
      </c>
      <c r="P23" s="35">
        <f t="shared" si="15"/>
        <v>0.49848548499045536</v>
      </c>
      <c r="Q23" s="35">
        <f t="shared" si="16"/>
        <v>0.11561038466052713</v>
      </c>
      <c r="R23" s="35">
        <f t="shared" si="17"/>
        <v>1.5984002816468812</v>
      </c>
      <c r="S23" s="35">
        <f t="shared" si="18"/>
        <v>-0.49848548499045542</v>
      </c>
      <c r="T23" s="35">
        <f t="shared" si="19"/>
        <v>0.1156103846605272</v>
      </c>
      <c r="U23" s="35">
        <f t="shared" si="20"/>
        <v>1.5984002816468812</v>
      </c>
    </row>
    <row r="24" spans="1:21" x14ac:dyDescent="0.25">
      <c r="A24" s="37">
        <f t="shared" si="0"/>
        <v>2</v>
      </c>
      <c r="B24" s="37">
        <f t="shared" si="1"/>
        <v>8</v>
      </c>
      <c r="C24" s="37">
        <f t="shared" si="2"/>
        <v>38</v>
      </c>
      <c r="D24" s="37">
        <f t="shared" si="3"/>
        <v>0</v>
      </c>
      <c r="E24" s="37" t="str">
        <f t="shared" si="4"/>
        <v/>
      </c>
      <c r="F24" s="37">
        <f t="shared" si="5"/>
        <v>26</v>
      </c>
      <c r="G24" s="38">
        <f t="shared" si="6"/>
        <v>44256</v>
      </c>
      <c r="H24" s="37">
        <f t="shared" si="7"/>
        <v>34</v>
      </c>
      <c r="I24" s="38">
        <f t="shared" si="8"/>
        <v>44470</v>
      </c>
      <c r="J24" s="39">
        <f t="shared" si="9"/>
        <v>91275.620025634766</v>
      </c>
      <c r="K24" s="39">
        <f t="shared" si="10"/>
        <v>49207.389997005463</v>
      </c>
      <c r="L24" s="40">
        <f t="shared" si="11"/>
        <v>2.2244827443115884</v>
      </c>
      <c r="M24" s="40">
        <f t="shared" si="12"/>
        <v>2.2244827443115884</v>
      </c>
      <c r="N24" s="39">
        <f t="shared" si="13"/>
        <v>109460.98994094932</v>
      </c>
      <c r="O24" s="39">
        <f t="shared" si="14"/>
        <v>262050.52324167901</v>
      </c>
      <c r="P24" s="41">
        <f t="shared" si="15"/>
        <v>0.46089229541047694</v>
      </c>
      <c r="Q24" s="41">
        <f t="shared" si="16"/>
        <v>0.19923578618482343</v>
      </c>
      <c r="R24" s="41">
        <f t="shared" si="17"/>
        <v>1.8709804783367354</v>
      </c>
      <c r="S24" s="41">
        <f t="shared" si="18"/>
        <v>-0.46089229541047694</v>
      </c>
      <c r="T24" s="41">
        <f t="shared" si="19"/>
        <v>0.19923578618482352</v>
      </c>
      <c r="U24" s="41">
        <f t="shared" si="20"/>
        <v>1.8709804783367354</v>
      </c>
    </row>
    <row r="25" spans="1:21" x14ac:dyDescent="0.25">
      <c r="A25" s="26">
        <f t="shared" si="0"/>
        <v>3</v>
      </c>
      <c r="B25" s="26">
        <f t="shared" si="1"/>
        <v>1</v>
      </c>
      <c r="C25" s="26">
        <f t="shared" si="2"/>
        <v>37</v>
      </c>
      <c r="D25" s="26">
        <f t="shared" si="3"/>
        <v>0</v>
      </c>
      <c r="E25" s="26" t="str">
        <f t="shared" si="4"/>
        <v/>
      </c>
      <c r="F25" s="26">
        <f t="shared" si="5"/>
        <v>27</v>
      </c>
      <c r="G25" s="29">
        <f t="shared" si="6"/>
        <v>44287</v>
      </c>
      <c r="H25" s="26">
        <f t="shared" si="7"/>
        <v>28</v>
      </c>
      <c r="I25" s="29">
        <f t="shared" si="8"/>
        <v>44287</v>
      </c>
      <c r="J25" s="33">
        <f t="shared" si="9"/>
        <v>70861.690135478973</v>
      </c>
      <c r="K25" s="33">
        <f t="shared" si="10"/>
        <v>34806.270035743713</v>
      </c>
      <c r="L25" s="19">
        <f t="shared" si="11"/>
        <v>1.8039973402943403</v>
      </c>
      <c r="M25" s="19">
        <f t="shared" si="12"/>
        <v>1.8039973402943403</v>
      </c>
      <c r="N25" s="33">
        <f t="shared" si="13"/>
        <v>62790.418570048256</v>
      </c>
      <c r="O25" s="33">
        <f t="shared" si="14"/>
        <v>68727.41126083961</v>
      </c>
      <c r="P25" s="35">
        <f t="shared" si="15"/>
        <v>0.50881400134263888</v>
      </c>
      <c r="Q25" s="35">
        <f t="shared" si="16"/>
        <v>0.11390176483230112</v>
      </c>
      <c r="R25" s="35">
        <f t="shared" si="17"/>
        <v>3.0118938322793044E-2</v>
      </c>
      <c r="S25" s="35">
        <f t="shared" si="18"/>
        <v>-0.50881400134263888</v>
      </c>
      <c r="T25" s="35">
        <f t="shared" si="19"/>
        <v>-0.11390176483230108</v>
      </c>
      <c r="U25" s="35">
        <f t="shared" si="20"/>
        <v>-3.0118938322792999E-2</v>
      </c>
    </row>
    <row r="26" spans="1:21" x14ac:dyDescent="0.25">
      <c r="A26" s="26">
        <f t="shared" si="0"/>
        <v>3</v>
      </c>
      <c r="B26" s="26">
        <f t="shared" si="1"/>
        <v>2</v>
      </c>
      <c r="C26" s="26">
        <f t="shared" si="2"/>
        <v>37</v>
      </c>
      <c r="D26" s="26">
        <f t="shared" si="3"/>
        <v>0</v>
      </c>
      <c r="E26" s="26" t="str">
        <f t="shared" si="4"/>
        <v/>
      </c>
      <c r="F26" s="26">
        <f t="shared" si="5"/>
        <v>27</v>
      </c>
      <c r="G26" s="29">
        <f t="shared" si="6"/>
        <v>44287</v>
      </c>
      <c r="H26" s="26">
        <f t="shared" si="7"/>
        <v>29</v>
      </c>
      <c r="I26" s="29">
        <f t="shared" si="8"/>
        <v>44317</v>
      </c>
      <c r="J26" s="33">
        <f t="shared" si="9"/>
        <v>74001.790117025375</v>
      </c>
      <c r="K26" s="33">
        <f t="shared" si="10"/>
        <v>36725.070060968399</v>
      </c>
      <c r="L26" s="19">
        <f t="shared" si="11"/>
        <v>1.8039973402943403</v>
      </c>
      <c r="M26" s="19">
        <f t="shared" si="12"/>
        <v>1.8039973402943403</v>
      </c>
      <c r="N26" s="33">
        <f t="shared" si="13"/>
        <v>66251.928712110297</v>
      </c>
      <c r="O26" s="33">
        <f t="shared" si="14"/>
        <v>76332.493654026519</v>
      </c>
      <c r="P26" s="35">
        <f t="shared" si="15"/>
        <v>0.50372727466603306</v>
      </c>
      <c r="Q26" s="35">
        <f t="shared" si="16"/>
        <v>0.10472532343690008</v>
      </c>
      <c r="R26" s="35">
        <f t="shared" si="17"/>
        <v>3.1495231849329619E-2</v>
      </c>
      <c r="S26" s="35">
        <f t="shared" si="18"/>
        <v>-0.50372727466603306</v>
      </c>
      <c r="T26" s="35">
        <f t="shared" si="19"/>
        <v>-0.10472532343690011</v>
      </c>
      <c r="U26" s="35">
        <f t="shared" si="20"/>
        <v>3.1495231849329564E-2</v>
      </c>
    </row>
    <row r="27" spans="1:21" x14ac:dyDescent="0.25">
      <c r="A27" s="26">
        <f t="shared" si="0"/>
        <v>3</v>
      </c>
      <c r="B27" s="26">
        <f t="shared" si="1"/>
        <v>3</v>
      </c>
      <c r="C27" s="26">
        <f t="shared" si="2"/>
        <v>37</v>
      </c>
      <c r="D27" s="26">
        <f t="shared" si="3"/>
        <v>0</v>
      </c>
      <c r="E27" s="26" t="str">
        <f t="shared" si="4"/>
        <v/>
      </c>
      <c r="F27" s="26">
        <f t="shared" si="5"/>
        <v>27</v>
      </c>
      <c r="G27" s="29">
        <f t="shared" si="6"/>
        <v>44287</v>
      </c>
      <c r="H27" s="26">
        <f t="shared" si="7"/>
        <v>30</v>
      </c>
      <c r="I27" s="29">
        <f t="shared" si="8"/>
        <v>44348</v>
      </c>
      <c r="J27" s="33">
        <f t="shared" si="9"/>
        <v>74855.450057983398</v>
      </c>
      <c r="K27" s="33">
        <f t="shared" si="10"/>
        <v>36275.650037527077</v>
      </c>
      <c r="L27" s="19">
        <f t="shared" si="11"/>
        <v>1.8039973402943403</v>
      </c>
      <c r="M27" s="19">
        <f t="shared" si="12"/>
        <v>1.8039973402943403</v>
      </c>
      <c r="N27" s="33">
        <f t="shared" si="13"/>
        <v>65441.176185147131</v>
      </c>
      <c r="O27" s="33">
        <f t="shared" si="14"/>
        <v>85069.860774863293</v>
      </c>
      <c r="P27" s="35">
        <f t="shared" si="15"/>
        <v>0.5153906628117555</v>
      </c>
      <c r="Q27" s="35">
        <f t="shared" si="16"/>
        <v>0.1257660446306037</v>
      </c>
      <c r="R27" s="35">
        <f t="shared" si="17"/>
        <v>0.13645513732089998</v>
      </c>
      <c r="S27" s="35">
        <f t="shared" si="18"/>
        <v>-0.5153906628117555</v>
      </c>
      <c r="T27" s="35">
        <f t="shared" si="19"/>
        <v>-0.1257660446306037</v>
      </c>
      <c r="U27" s="35">
        <f t="shared" si="20"/>
        <v>0.13645513732089998</v>
      </c>
    </row>
    <row r="28" spans="1:21" x14ac:dyDescent="0.25">
      <c r="A28" s="26">
        <f t="shared" si="0"/>
        <v>3</v>
      </c>
      <c r="B28" s="26">
        <f t="shared" si="1"/>
        <v>4</v>
      </c>
      <c r="C28" s="26">
        <f t="shared" si="2"/>
        <v>37</v>
      </c>
      <c r="D28" s="26">
        <f t="shared" si="3"/>
        <v>0</v>
      </c>
      <c r="E28" s="26" t="str">
        <f t="shared" si="4"/>
        <v/>
      </c>
      <c r="F28" s="26">
        <f t="shared" si="5"/>
        <v>27</v>
      </c>
      <c r="G28" s="29">
        <f t="shared" si="6"/>
        <v>44287</v>
      </c>
      <c r="H28" s="26">
        <f t="shared" si="7"/>
        <v>31</v>
      </c>
      <c r="I28" s="29">
        <f t="shared" si="8"/>
        <v>44378</v>
      </c>
      <c r="J28" s="33">
        <f t="shared" si="9"/>
        <v>80016.69003367424</v>
      </c>
      <c r="K28" s="33">
        <f t="shared" si="10"/>
        <v>44275.790027856827</v>
      </c>
      <c r="L28" s="19">
        <f t="shared" si="11"/>
        <v>1.8039973402943403</v>
      </c>
      <c r="M28" s="19">
        <f t="shared" si="12"/>
        <v>1.8039973402943403</v>
      </c>
      <c r="N28" s="33">
        <f t="shared" si="13"/>
        <v>79873.407449684397</v>
      </c>
      <c r="O28" s="33">
        <f t="shared" si="14"/>
        <v>104597.3015154632</v>
      </c>
      <c r="P28" s="35">
        <f t="shared" si="15"/>
        <v>0.44666806375990065</v>
      </c>
      <c r="Q28" s="35">
        <f t="shared" si="16"/>
        <v>1.7906587229432284E-3</v>
      </c>
      <c r="R28" s="35">
        <f t="shared" si="17"/>
        <v>0.30719355513761504</v>
      </c>
      <c r="S28" s="35">
        <f t="shared" si="18"/>
        <v>-0.44666806375990065</v>
      </c>
      <c r="T28" s="35">
        <f t="shared" si="19"/>
        <v>-1.7906587229432613E-3</v>
      </c>
      <c r="U28" s="35">
        <f t="shared" si="20"/>
        <v>0.30719355513761504</v>
      </c>
    </row>
    <row r="29" spans="1:21" x14ac:dyDescent="0.25">
      <c r="A29" s="26">
        <f t="shared" si="0"/>
        <v>3</v>
      </c>
      <c r="B29" s="26">
        <f t="shared" si="1"/>
        <v>5</v>
      </c>
      <c r="C29" s="26">
        <f t="shared" si="2"/>
        <v>37</v>
      </c>
      <c r="D29" s="26">
        <f t="shared" si="3"/>
        <v>0</v>
      </c>
      <c r="E29" s="26" t="str">
        <f t="shared" si="4"/>
        <v/>
      </c>
      <c r="F29" s="26">
        <f t="shared" si="5"/>
        <v>27</v>
      </c>
      <c r="G29" s="29">
        <f t="shared" si="6"/>
        <v>44287</v>
      </c>
      <c r="H29" s="26">
        <f t="shared" si="7"/>
        <v>32</v>
      </c>
      <c r="I29" s="29">
        <f t="shared" si="8"/>
        <v>44409</v>
      </c>
      <c r="J29" s="33">
        <f t="shared" si="9"/>
        <v>80303.24014878273</v>
      </c>
      <c r="K29" s="33">
        <f t="shared" si="10"/>
        <v>46063.200017929077</v>
      </c>
      <c r="L29" s="19">
        <f t="shared" si="11"/>
        <v>1.8039973402943403</v>
      </c>
      <c r="M29" s="19">
        <f t="shared" si="12"/>
        <v>1.8039973402943403</v>
      </c>
      <c r="N29" s="33">
        <f t="shared" si="13"/>
        <v>83097.890317790268</v>
      </c>
      <c r="O29" s="33">
        <f t="shared" si="14"/>
        <v>115061.9899660122</v>
      </c>
      <c r="P29" s="35">
        <f t="shared" si="15"/>
        <v>0.42638429118694382</v>
      </c>
      <c r="Q29" s="35">
        <f t="shared" si="16"/>
        <v>3.4801213049806198E-2</v>
      </c>
      <c r="R29" s="35">
        <f t="shared" si="17"/>
        <v>0.4328436779491065</v>
      </c>
      <c r="S29" s="35">
        <f t="shared" si="18"/>
        <v>-0.42638429118694376</v>
      </c>
      <c r="T29" s="35">
        <f t="shared" si="19"/>
        <v>3.4801213049806101E-2</v>
      </c>
      <c r="U29" s="35">
        <f t="shared" si="20"/>
        <v>0.4328436779491065</v>
      </c>
    </row>
    <row r="30" spans="1:21" x14ac:dyDescent="0.25">
      <c r="A30" s="26">
        <f t="shared" si="0"/>
        <v>3</v>
      </c>
      <c r="B30" s="26">
        <f t="shared" si="1"/>
        <v>6</v>
      </c>
      <c r="C30" s="26">
        <f t="shared" si="2"/>
        <v>37</v>
      </c>
      <c r="D30" s="26">
        <f t="shared" si="3"/>
        <v>0</v>
      </c>
      <c r="E30" s="26" t="str">
        <f t="shared" si="4"/>
        <v/>
      </c>
      <c r="F30" s="26">
        <f t="shared" si="5"/>
        <v>27</v>
      </c>
      <c r="G30" s="29">
        <f t="shared" si="6"/>
        <v>44287</v>
      </c>
      <c r="H30" s="26">
        <f t="shared" si="7"/>
        <v>33</v>
      </c>
      <c r="I30" s="29">
        <f t="shared" si="8"/>
        <v>44440</v>
      </c>
      <c r="J30" s="33">
        <f t="shared" si="9"/>
        <v>84924.860115528107</v>
      </c>
      <c r="K30" s="33">
        <f t="shared" si="10"/>
        <v>42591.050033092499</v>
      </c>
      <c r="L30" s="19">
        <f t="shared" si="11"/>
        <v>1.8039973402943403</v>
      </c>
      <c r="M30" s="19">
        <f t="shared" si="12"/>
        <v>1.8039973402943403</v>
      </c>
      <c r="N30" s="33">
        <f t="shared" si="13"/>
        <v>76834.140980042037</v>
      </c>
      <c r="O30" s="33">
        <f t="shared" si="14"/>
        <v>114156.1782699336</v>
      </c>
      <c r="P30" s="35">
        <f t="shared" si="15"/>
        <v>0.49848548499045536</v>
      </c>
      <c r="Q30" s="35">
        <f t="shared" si="16"/>
        <v>9.5269148803775544E-2</v>
      </c>
      <c r="R30" s="35">
        <f t="shared" si="17"/>
        <v>0.34420213485945667</v>
      </c>
      <c r="S30" s="35">
        <f t="shared" si="18"/>
        <v>-0.49848548499045542</v>
      </c>
      <c r="T30" s="35">
        <f t="shared" si="19"/>
        <v>-9.5269148803775572E-2</v>
      </c>
      <c r="U30" s="35">
        <f t="shared" si="20"/>
        <v>0.34420213485945661</v>
      </c>
    </row>
    <row r="31" spans="1:21" x14ac:dyDescent="0.25">
      <c r="A31" s="26">
        <f t="shared" si="0"/>
        <v>3</v>
      </c>
      <c r="B31" s="26">
        <f t="shared" si="1"/>
        <v>7</v>
      </c>
      <c r="C31" s="26">
        <f t="shared" si="2"/>
        <v>37</v>
      </c>
      <c r="D31" s="26">
        <f t="shared" si="3"/>
        <v>0</v>
      </c>
      <c r="E31" s="26" t="str">
        <f t="shared" si="4"/>
        <v/>
      </c>
      <c r="F31" s="26">
        <f t="shared" si="5"/>
        <v>27</v>
      </c>
      <c r="G31" s="29">
        <f t="shared" si="6"/>
        <v>44287</v>
      </c>
      <c r="H31" s="26">
        <f t="shared" si="7"/>
        <v>34</v>
      </c>
      <c r="I31" s="29">
        <f t="shared" si="8"/>
        <v>44470</v>
      </c>
      <c r="J31" s="33">
        <f t="shared" si="9"/>
        <v>91275.620025634766</v>
      </c>
      <c r="K31" s="33">
        <f t="shared" si="10"/>
        <v>49207.389997005463</v>
      </c>
      <c r="L31" s="19">
        <f t="shared" si="11"/>
        <v>1.8039973402943403</v>
      </c>
      <c r="M31" s="19">
        <f t="shared" si="12"/>
        <v>1.8039973402943403</v>
      </c>
      <c r="N31" s="33">
        <f t="shared" si="13"/>
        <v>88770.000677424177</v>
      </c>
      <c r="O31" s="33">
        <f t="shared" si="14"/>
        <v>135562.87646401941</v>
      </c>
      <c r="P31" s="35">
        <f t="shared" si="15"/>
        <v>0.46089229541047694</v>
      </c>
      <c r="Q31" s="35">
        <f t="shared" si="16"/>
        <v>2.7451134788313514E-2</v>
      </c>
      <c r="R31" s="35">
        <f t="shared" si="17"/>
        <v>0.48520356723894692</v>
      </c>
      <c r="S31" s="35">
        <f t="shared" si="18"/>
        <v>-0.46089229541047694</v>
      </c>
      <c r="T31" s="35">
        <f t="shared" si="19"/>
        <v>-2.7451134788313514E-2</v>
      </c>
      <c r="U31" s="35">
        <f t="shared" si="20"/>
        <v>0.48520356723894698</v>
      </c>
    </row>
    <row r="32" spans="1:21" x14ac:dyDescent="0.25">
      <c r="A32" s="37">
        <f t="shared" si="0"/>
        <v>3</v>
      </c>
      <c r="B32" s="37">
        <f t="shared" si="1"/>
        <v>8</v>
      </c>
      <c r="C32" s="37">
        <f t="shared" si="2"/>
        <v>37</v>
      </c>
      <c r="D32" s="37">
        <f t="shared" si="3"/>
        <v>0</v>
      </c>
      <c r="E32" s="37" t="str">
        <f t="shared" si="4"/>
        <v/>
      </c>
      <c r="F32" s="37">
        <f t="shared" si="5"/>
        <v>27</v>
      </c>
      <c r="G32" s="38">
        <f t="shared" si="6"/>
        <v>44287</v>
      </c>
      <c r="H32" s="37">
        <f t="shared" si="7"/>
        <v>35</v>
      </c>
      <c r="I32" s="38">
        <f t="shared" si="8"/>
        <v>44501</v>
      </c>
      <c r="J32" s="39">
        <f t="shared" si="9"/>
        <v>94327.220094442368</v>
      </c>
      <c r="K32" s="39">
        <f t="shared" si="10"/>
        <v>54805.390057325363</v>
      </c>
      <c r="L32" s="40">
        <f t="shared" si="11"/>
        <v>1.8039973402943403</v>
      </c>
      <c r="M32" s="40">
        <f t="shared" si="12"/>
        <v>1.8039973402943403</v>
      </c>
      <c r="N32" s="39">
        <f t="shared" si="13"/>
        <v>98868.777897208842</v>
      </c>
      <c r="O32" s="39">
        <f t="shared" si="14"/>
        <v>150679.9954303354</v>
      </c>
      <c r="P32" s="41">
        <f t="shared" si="15"/>
        <v>0.41898648128871951</v>
      </c>
      <c r="Q32" s="41">
        <f t="shared" si="16"/>
        <v>4.8146842430205963E-2</v>
      </c>
      <c r="R32" s="41">
        <f t="shared" si="17"/>
        <v>0.59741795930667174</v>
      </c>
      <c r="S32" s="41">
        <f t="shared" si="18"/>
        <v>-0.41898648128871951</v>
      </c>
      <c r="T32" s="41">
        <f t="shared" si="19"/>
        <v>4.814684243020606E-2</v>
      </c>
      <c r="U32" s="41">
        <f t="shared" si="20"/>
        <v>0.59741795930667174</v>
      </c>
    </row>
    <row r="33" spans="1:21" x14ac:dyDescent="0.25">
      <c r="A33" s="26">
        <f t="shared" si="0"/>
        <v>4</v>
      </c>
      <c r="B33" s="26">
        <f t="shared" si="1"/>
        <v>1</v>
      </c>
      <c r="C33" s="26">
        <f t="shared" si="2"/>
        <v>36</v>
      </c>
      <c r="D33" s="26">
        <f t="shared" si="3"/>
        <v>0</v>
      </c>
      <c r="E33" s="26" t="str">
        <f t="shared" si="4"/>
        <v/>
      </c>
      <c r="F33" s="26">
        <f t="shared" si="5"/>
        <v>28</v>
      </c>
      <c r="G33" s="29">
        <f t="shared" si="6"/>
        <v>44317</v>
      </c>
      <c r="H33" s="26">
        <f t="shared" si="7"/>
        <v>29</v>
      </c>
      <c r="I33" s="29">
        <f t="shared" si="8"/>
        <v>44317</v>
      </c>
      <c r="J33" s="33">
        <f t="shared" si="9"/>
        <v>74001.790117025375</v>
      </c>
      <c r="K33" s="33">
        <f t="shared" si="10"/>
        <v>36725.070060968399</v>
      </c>
      <c r="L33" s="19">
        <f t="shared" si="11"/>
        <v>2.035888650599698</v>
      </c>
      <c r="M33" s="19">
        <f t="shared" si="12"/>
        <v>2.035888650599698</v>
      </c>
      <c r="N33" s="33">
        <f t="shared" si="13"/>
        <v>74768.15332960432</v>
      </c>
      <c r="O33" s="33">
        <f t="shared" si="14"/>
        <v>78703.401837745958</v>
      </c>
      <c r="P33" s="35">
        <f t="shared" si="15"/>
        <v>0.50372727466603306</v>
      </c>
      <c r="Q33" s="35">
        <f t="shared" si="16"/>
        <v>1.0356009109604358E-2</v>
      </c>
      <c r="R33" s="35">
        <f t="shared" si="17"/>
        <v>6.353375659271919E-2</v>
      </c>
      <c r="S33" s="35">
        <f t="shared" si="18"/>
        <v>-0.50372727466603306</v>
      </c>
      <c r="T33" s="35">
        <f t="shared" si="19"/>
        <v>1.0356009109604436E-2</v>
      </c>
      <c r="U33" s="35">
        <f t="shared" si="20"/>
        <v>6.3533756592719204E-2</v>
      </c>
    </row>
    <row r="34" spans="1:21" x14ac:dyDescent="0.25">
      <c r="A34" s="26">
        <f t="shared" si="0"/>
        <v>4</v>
      </c>
      <c r="B34" s="26">
        <f t="shared" si="1"/>
        <v>2</v>
      </c>
      <c r="C34" s="26">
        <f t="shared" si="2"/>
        <v>36</v>
      </c>
      <c r="D34" s="26">
        <f t="shared" si="3"/>
        <v>0</v>
      </c>
      <c r="E34" s="26" t="str">
        <f t="shared" si="4"/>
        <v/>
      </c>
      <c r="F34" s="26">
        <f t="shared" si="5"/>
        <v>28</v>
      </c>
      <c r="G34" s="29">
        <f t="shared" si="6"/>
        <v>44317</v>
      </c>
      <c r="H34" s="26">
        <f t="shared" si="7"/>
        <v>30</v>
      </c>
      <c r="I34" s="29">
        <f t="shared" si="8"/>
        <v>44348</v>
      </c>
      <c r="J34" s="33">
        <f t="shared" si="9"/>
        <v>74855.450057983398</v>
      </c>
      <c r="K34" s="33">
        <f t="shared" si="10"/>
        <v>36275.650037527077</v>
      </c>
      <c r="L34" s="19">
        <f t="shared" si="11"/>
        <v>2.035888650599698</v>
      </c>
      <c r="M34" s="19">
        <f t="shared" si="12"/>
        <v>2.035888650599698</v>
      </c>
      <c r="N34" s="33">
        <f t="shared" si="13"/>
        <v>73853.18420452789</v>
      </c>
      <c r="O34" s="33">
        <f t="shared" si="14"/>
        <v>87712.348461930931</v>
      </c>
      <c r="P34" s="35">
        <f t="shared" si="15"/>
        <v>0.5153906628117555</v>
      </c>
      <c r="Q34" s="35">
        <f t="shared" si="16"/>
        <v>1.3389350443810684E-2</v>
      </c>
      <c r="R34" s="35">
        <f t="shared" si="17"/>
        <v>0.1717563436461676</v>
      </c>
      <c r="S34" s="35">
        <f t="shared" si="18"/>
        <v>-0.5153906628117555</v>
      </c>
      <c r="T34" s="35">
        <f t="shared" si="19"/>
        <v>-1.3389350443810732E-2</v>
      </c>
      <c r="U34" s="35">
        <f t="shared" si="20"/>
        <v>0.17175634364616754</v>
      </c>
    </row>
    <row r="35" spans="1:21" x14ac:dyDescent="0.25">
      <c r="A35" s="26">
        <f t="shared" si="0"/>
        <v>4</v>
      </c>
      <c r="B35" s="26">
        <f t="shared" si="1"/>
        <v>3</v>
      </c>
      <c r="C35" s="26">
        <f t="shared" si="2"/>
        <v>36</v>
      </c>
      <c r="D35" s="26">
        <f t="shared" si="3"/>
        <v>0</v>
      </c>
      <c r="E35" s="26" t="str">
        <f t="shared" si="4"/>
        <v/>
      </c>
      <c r="F35" s="26">
        <f t="shared" si="5"/>
        <v>28</v>
      </c>
      <c r="G35" s="29">
        <f t="shared" si="6"/>
        <v>44317</v>
      </c>
      <c r="H35" s="26">
        <f t="shared" si="7"/>
        <v>31</v>
      </c>
      <c r="I35" s="29">
        <f t="shared" si="8"/>
        <v>44378</v>
      </c>
      <c r="J35" s="33">
        <f t="shared" si="9"/>
        <v>80016.69003367424</v>
      </c>
      <c r="K35" s="33">
        <f t="shared" si="10"/>
        <v>44275.790027856827</v>
      </c>
      <c r="L35" s="19">
        <f t="shared" si="11"/>
        <v>2.035888650599698</v>
      </c>
      <c r="M35" s="19">
        <f t="shared" si="12"/>
        <v>2.035888650599698</v>
      </c>
      <c r="N35" s="33">
        <f t="shared" si="13"/>
        <v>90140.578414049</v>
      </c>
      <c r="O35" s="33">
        <f t="shared" si="14"/>
        <v>107846.16258686149</v>
      </c>
      <c r="P35" s="35">
        <f t="shared" si="15"/>
        <v>0.44666806375990065</v>
      </c>
      <c r="Q35" s="35">
        <f t="shared" si="16"/>
        <v>0.12652220900557395</v>
      </c>
      <c r="R35" s="35">
        <f t="shared" si="17"/>
        <v>0.34779584785968393</v>
      </c>
      <c r="S35" s="35">
        <f t="shared" si="18"/>
        <v>-0.44666806375990065</v>
      </c>
      <c r="T35" s="35">
        <f t="shared" si="19"/>
        <v>0.12652220900557398</v>
      </c>
      <c r="U35" s="35">
        <f t="shared" si="20"/>
        <v>0.34779584785968387</v>
      </c>
    </row>
    <row r="36" spans="1:21" x14ac:dyDescent="0.25">
      <c r="A36" s="26">
        <f t="shared" si="0"/>
        <v>4</v>
      </c>
      <c r="B36" s="26">
        <f t="shared" si="1"/>
        <v>4</v>
      </c>
      <c r="C36" s="26">
        <f t="shared" si="2"/>
        <v>36</v>
      </c>
      <c r="D36" s="26">
        <f t="shared" si="3"/>
        <v>0</v>
      </c>
      <c r="E36" s="26" t="str">
        <f t="shared" si="4"/>
        <v/>
      </c>
      <c r="F36" s="26">
        <f t="shared" si="5"/>
        <v>28</v>
      </c>
      <c r="G36" s="29">
        <f t="shared" si="6"/>
        <v>44317</v>
      </c>
      <c r="H36" s="26">
        <f t="shared" si="7"/>
        <v>32</v>
      </c>
      <c r="I36" s="29">
        <f t="shared" si="8"/>
        <v>44409</v>
      </c>
      <c r="J36" s="33">
        <f t="shared" si="9"/>
        <v>80303.24014878273</v>
      </c>
      <c r="K36" s="33">
        <f t="shared" si="10"/>
        <v>46063.200017929077</v>
      </c>
      <c r="L36" s="19">
        <f t="shared" si="11"/>
        <v>2.035888650599698</v>
      </c>
      <c r="M36" s="19">
        <f t="shared" si="12"/>
        <v>2.035888650599698</v>
      </c>
      <c r="N36" s="33">
        <f t="shared" si="13"/>
        <v>93779.54612680561</v>
      </c>
      <c r="O36" s="33">
        <f t="shared" si="14"/>
        <v>118635.1890181098</v>
      </c>
      <c r="P36" s="35">
        <f t="shared" si="15"/>
        <v>0.42638429118694382</v>
      </c>
      <c r="Q36" s="35">
        <f t="shared" si="16"/>
        <v>0.1678177113782022</v>
      </c>
      <c r="R36" s="35">
        <f t="shared" si="17"/>
        <v>0.47734000269860993</v>
      </c>
      <c r="S36" s="35">
        <f t="shared" si="18"/>
        <v>-0.42638429118694376</v>
      </c>
      <c r="T36" s="35">
        <f t="shared" si="19"/>
        <v>0.16781771137820223</v>
      </c>
      <c r="U36" s="35">
        <f t="shared" si="20"/>
        <v>0.47734000269860988</v>
      </c>
    </row>
    <row r="37" spans="1:21" x14ac:dyDescent="0.25">
      <c r="A37" s="26">
        <f t="shared" si="0"/>
        <v>4</v>
      </c>
      <c r="B37" s="26">
        <f t="shared" si="1"/>
        <v>5</v>
      </c>
      <c r="C37" s="26">
        <f t="shared" si="2"/>
        <v>36</v>
      </c>
      <c r="D37" s="26">
        <f t="shared" si="3"/>
        <v>0</v>
      </c>
      <c r="E37" s="26" t="str">
        <f t="shared" si="4"/>
        <v/>
      </c>
      <c r="F37" s="26">
        <f t="shared" si="5"/>
        <v>28</v>
      </c>
      <c r="G37" s="29">
        <f t="shared" si="6"/>
        <v>44317</v>
      </c>
      <c r="H37" s="26">
        <f t="shared" si="7"/>
        <v>33</v>
      </c>
      <c r="I37" s="29">
        <f t="shared" si="8"/>
        <v>44440</v>
      </c>
      <c r="J37" s="33">
        <f t="shared" si="9"/>
        <v>84924.860115528107</v>
      </c>
      <c r="K37" s="33">
        <f t="shared" si="10"/>
        <v>42591.050033092499</v>
      </c>
      <c r="L37" s="19">
        <f t="shared" si="11"/>
        <v>2.035888650599698</v>
      </c>
      <c r="M37" s="19">
        <f t="shared" si="12"/>
        <v>2.035888650599698</v>
      </c>
      <c r="N37" s="33">
        <f t="shared" si="13"/>
        <v>86710.635379496918</v>
      </c>
      <c r="O37" s="33">
        <f t="shared" si="14"/>
        <v>117701.2503057377</v>
      </c>
      <c r="P37" s="35">
        <f t="shared" si="15"/>
        <v>0.49848548499045536</v>
      </c>
      <c r="Q37" s="35">
        <f t="shared" si="16"/>
        <v>2.10277092189439E-2</v>
      </c>
      <c r="R37" s="35">
        <f t="shared" si="17"/>
        <v>0.38594576600564329</v>
      </c>
      <c r="S37" s="35">
        <f t="shared" si="18"/>
        <v>-0.49848548499045542</v>
      </c>
      <c r="T37" s="35">
        <f t="shared" si="19"/>
        <v>2.1027709218943924E-2</v>
      </c>
      <c r="U37" s="35">
        <f t="shared" si="20"/>
        <v>0.38594576600564334</v>
      </c>
    </row>
    <row r="38" spans="1:21" x14ac:dyDescent="0.25">
      <c r="A38" s="26">
        <f t="shared" si="0"/>
        <v>4</v>
      </c>
      <c r="B38" s="26">
        <f t="shared" si="1"/>
        <v>6</v>
      </c>
      <c r="C38" s="26">
        <f t="shared" si="2"/>
        <v>36</v>
      </c>
      <c r="D38" s="26">
        <f t="shared" si="3"/>
        <v>0</v>
      </c>
      <c r="E38" s="26" t="str">
        <f t="shared" si="4"/>
        <v/>
      </c>
      <c r="F38" s="26">
        <f t="shared" si="5"/>
        <v>28</v>
      </c>
      <c r="G38" s="29">
        <f t="shared" si="6"/>
        <v>44317</v>
      </c>
      <c r="H38" s="26">
        <f t="shared" si="7"/>
        <v>34</v>
      </c>
      <c r="I38" s="29">
        <f t="shared" si="8"/>
        <v>44470</v>
      </c>
      <c r="J38" s="33">
        <f t="shared" si="9"/>
        <v>91275.620025634766</v>
      </c>
      <c r="K38" s="33">
        <f t="shared" si="10"/>
        <v>49207.389997005463</v>
      </c>
      <c r="L38" s="19">
        <f t="shared" si="11"/>
        <v>2.035888650599698</v>
      </c>
      <c r="M38" s="19">
        <f t="shared" si="12"/>
        <v>2.035888650599698</v>
      </c>
      <c r="N38" s="33">
        <f t="shared" si="13"/>
        <v>100180.76682053653</v>
      </c>
      <c r="O38" s="33">
        <f t="shared" si="14"/>
        <v>139772.808874115</v>
      </c>
      <c r="P38" s="35">
        <f t="shared" si="15"/>
        <v>0.46089229541047694</v>
      </c>
      <c r="Q38" s="35">
        <f t="shared" si="16"/>
        <v>9.7563257224664773E-2</v>
      </c>
      <c r="R38" s="35">
        <f t="shared" si="17"/>
        <v>0.5313268629110357</v>
      </c>
      <c r="S38" s="35">
        <f t="shared" si="18"/>
        <v>-0.46089229541047694</v>
      </c>
      <c r="T38" s="35">
        <f t="shared" si="19"/>
        <v>9.7563257224664746E-2</v>
      </c>
      <c r="U38" s="35">
        <f t="shared" si="20"/>
        <v>0.5313268629110357</v>
      </c>
    </row>
    <row r="39" spans="1:21" x14ac:dyDescent="0.25">
      <c r="A39" s="26">
        <f t="shared" si="0"/>
        <v>4</v>
      </c>
      <c r="B39" s="26">
        <f t="shared" si="1"/>
        <v>7</v>
      </c>
      <c r="C39" s="26">
        <f t="shared" si="2"/>
        <v>36</v>
      </c>
      <c r="D39" s="26">
        <f t="shared" si="3"/>
        <v>0</v>
      </c>
      <c r="E39" s="26" t="str">
        <f t="shared" si="4"/>
        <v/>
      </c>
      <c r="F39" s="26">
        <f t="shared" si="5"/>
        <v>28</v>
      </c>
      <c r="G39" s="29">
        <f t="shared" si="6"/>
        <v>44317</v>
      </c>
      <c r="H39" s="26">
        <f t="shared" si="7"/>
        <v>35</v>
      </c>
      <c r="I39" s="29">
        <f t="shared" si="8"/>
        <v>44501</v>
      </c>
      <c r="J39" s="33">
        <f t="shared" si="9"/>
        <v>94327.220094442368</v>
      </c>
      <c r="K39" s="33">
        <f t="shared" si="10"/>
        <v>54805.390057325363</v>
      </c>
      <c r="L39" s="19">
        <f t="shared" si="11"/>
        <v>2.035888650599698</v>
      </c>
      <c r="M39" s="19">
        <f t="shared" si="12"/>
        <v>2.035888650599698</v>
      </c>
      <c r="N39" s="33">
        <f t="shared" si="13"/>
        <v>111577.67160939824</v>
      </c>
      <c r="O39" s="33">
        <f t="shared" si="14"/>
        <v>155360.49757381261</v>
      </c>
      <c r="P39" s="35">
        <f t="shared" si="15"/>
        <v>0.41898648128871951</v>
      </c>
      <c r="Q39" s="35">
        <f t="shared" si="16"/>
        <v>0.18287882858929122</v>
      </c>
      <c r="R39" s="35">
        <f t="shared" si="17"/>
        <v>0.6470378053997824</v>
      </c>
      <c r="S39" s="35">
        <f t="shared" si="18"/>
        <v>-0.41898648128871951</v>
      </c>
      <c r="T39" s="35">
        <f t="shared" si="19"/>
        <v>0.18287882858929128</v>
      </c>
      <c r="U39" s="35">
        <f t="shared" si="20"/>
        <v>0.64703780539978228</v>
      </c>
    </row>
    <row r="40" spans="1:21" x14ac:dyDescent="0.25">
      <c r="A40" s="37">
        <f t="shared" si="0"/>
        <v>4</v>
      </c>
      <c r="B40" s="37">
        <f t="shared" si="1"/>
        <v>8</v>
      </c>
      <c r="C40" s="37">
        <f t="shared" si="2"/>
        <v>36</v>
      </c>
      <c r="D40" s="37">
        <f t="shared" si="3"/>
        <v>0</v>
      </c>
      <c r="E40" s="37" t="str">
        <f t="shared" si="4"/>
        <v/>
      </c>
      <c r="F40" s="37">
        <f t="shared" si="5"/>
        <v>28</v>
      </c>
      <c r="G40" s="38">
        <f t="shared" si="6"/>
        <v>44317</v>
      </c>
      <c r="H40" s="37">
        <f t="shared" si="7"/>
        <v>36</v>
      </c>
      <c r="I40" s="38">
        <f t="shared" si="8"/>
        <v>44531</v>
      </c>
      <c r="J40" s="39">
        <f t="shared" si="9"/>
        <v>95950.710146665573</v>
      </c>
      <c r="K40" s="39">
        <f t="shared" si="10"/>
        <v>51901.930014848709</v>
      </c>
      <c r="L40" s="40">
        <f t="shared" si="11"/>
        <v>2.035888650599698</v>
      </c>
      <c r="M40" s="40">
        <f t="shared" si="12"/>
        <v>2.035888650599698</v>
      </c>
      <c r="N40" s="39">
        <f t="shared" si="13"/>
        <v>105666.55026145031</v>
      </c>
      <c r="O40" s="39">
        <f t="shared" si="14"/>
        <v>158313.78358578469</v>
      </c>
      <c r="P40" s="41">
        <f t="shared" si="15"/>
        <v>0.45907716643770585</v>
      </c>
      <c r="Q40" s="41">
        <f t="shared" si="16"/>
        <v>0.10125865769970409</v>
      </c>
      <c r="R40" s="41">
        <f t="shared" si="17"/>
        <v>0.64994905554939586</v>
      </c>
      <c r="S40" s="41">
        <f t="shared" si="18"/>
        <v>-0.45907716643770591</v>
      </c>
      <c r="T40" s="41">
        <f t="shared" si="19"/>
        <v>0.1012586576997041</v>
      </c>
      <c r="U40" s="41">
        <f t="shared" si="20"/>
        <v>0.64994905554939586</v>
      </c>
    </row>
    <row r="41" spans="1:21" x14ac:dyDescent="0.25">
      <c r="A41" s="26">
        <f t="shared" si="0"/>
        <v>5</v>
      </c>
      <c r="B41" s="26">
        <f t="shared" si="1"/>
        <v>1</v>
      </c>
      <c r="C41" s="26">
        <f t="shared" si="2"/>
        <v>35</v>
      </c>
      <c r="D41" s="26">
        <f t="shared" si="3"/>
        <v>0</v>
      </c>
      <c r="E41" s="26" t="str">
        <f t="shared" si="4"/>
        <v/>
      </c>
      <c r="F41" s="26">
        <f t="shared" si="5"/>
        <v>29</v>
      </c>
      <c r="G41" s="29">
        <f t="shared" si="6"/>
        <v>44348</v>
      </c>
      <c r="H41" s="26">
        <f t="shared" si="7"/>
        <v>30</v>
      </c>
      <c r="I41" s="29">
        <f t="shared" si="8"/>
        <v>44348</v>
      </c>
      <c r="J41" s="33">
        <f t="shared" si="9"/>
        <v>74855.450057983398</v>
      </c>
      <c r="K41" s="33">
        <f t="shared" si="10"/>
        <v>36275.650037527077</v>
      </c>
      <c r="L41" s="19">
        <f t="shared" si="11"/>
        <v>2.0150210740012957</v>
      </c>
      <c r="M41" s="19">
        <f t="shared" si="12"/>
        <v>2.0150210740012957</v>
      </c>
      <c r="N41" s="33">
        <f t="shared" si="13"/>
        <v>73096.199298712949</v>
      </c>
      <c r="O41" s="33">
        <f t="shared" si="14"/>
        <v>82472.481357544413</v>
      </c>
      <c r="P41" s="35">
        <f t="shared" si="15"/>
        <v>0.5153906628117555</v>
      </c>
      <c r="Q41" s="35">
        <f t="shared" si="16"/>
        <v>2.3501972907887473E-2</v>
      </c>
      <c r="R41" s="35">
        <f t="shared" si="17"/>
        <v>0.10175653601255252</v>
      </c>
      <c r="S41" s="35">
        <f t="shared" si="18"/>
        <v>-0.5153906628117555</v>
      </c>
      <c r="T41" s="35">
        <f t="shared" si="19"/>
        <v>-2.350197290788747E-2</v>
      </c>
      <c r="U41" s="35">
        <f t="shared" si="20"/>
        <v>0.10175653601255252</v>
      </c>
    </row>
    <row r="42" spans="1:21" x14ac:dyDescent="0.25">
      <c r="A42" s="26">
        <f t="shared" si="0"/>
        <v>5</v>
      </c>
      <c r="B42" s="26">
        <f t="shared" si="1"/>
        <v>2</v>
      </c>
      <c r="C42" s="26">
        <f t="shared" si="2"/>
        <v>35</v>
      </c>
      <c r="D42" s="26">
        <f t="shared" si="3"/>
        <v>0</v>
      </c>
      <c r="E42" s="26" t="str">
        <f t="shared" si="4"/>
        <v/>
      </c>
      <c r="F42" s="26">
        <f t="shared" si="5"/>
        <v>29</v>
      </c>
      <c r="G42" s="29">
        <f t="shared" si="6"/>
        <v>44348</v>
      </c>
      <c r="H42" s="26">
        <f t="shared" si="7"/>
        <v>31</v>
      </c>
      <c r="I42" s="29">
        <f t="shared" si="8"/>
        <v>44378</v>
      </c>
      <c r="J42" s="33">
        <f t="shared" si="9"/>
        <v>80016.69003367424</v>
      </c>
      <c r="K42" s="33">
        <f t="shared" si="10"/>
        <v>44275.790027856827</v>
      </c>
      <c r="L42" s="19">
        <f t="shared" si="11"/>
        <v>2.0150210740012957</v>
      </c>
      <c r="M42" s="19">
        <f t="shared" si="12"/>
        <v>2.0150210740012957</v>
      </c>
      <c r="N42" s="33">
        <f t="shared" si="13"/>
        <v>89216.649974187923</v>
      </c>
      <c r="O42" s="33">
        <f t="shared" si="14"/>
        <v>101403.4072253623</v>
      </c>
      <c r="P42" s="35">
        <f t="shared" si="15"/>
        <v>0.44666806375990065</v>
      </c>
      <c r="Q42" s="35">
        <f t="shared" si="16"/>
        <v>0.11497551244174146</v>
      </c>
      <c r="R42" s="35">
        <f t="shared" si="17"/>
        <v>0.26727820386831386</v>
      </c>
      <c r="S42" s="35">
        <f t="shared" si="18"/>
        <v>-0.44666806375990065</v>
      </c>
      <c r="T42" s="35">
        <f t="shared" si="19"/>
        <v>0.11497551244174153</v>
      </c>
      <c r="U42" s="35">
        <f t="shared" si="20"/>
        <v>0.26727820386831391</v>
      </c>
    </row>
    <row r="43" spans="1:21" x14ac:dyDescent="0.25">
      <c r="A43" s="26">
        <f t="shared" si="0"/>
        <v>5</v>
      </c>
      <c r="B43" s="26">
        <f t="shared" si="1"/>
        <v>3</v>
      </c>
      <c r="C43" s="26">
        <f t="shared" si="2"/>
        <v>35</v>
      </c>
      <c r="D43" s="26">
        <f t="shared" si="3"/>
        <v>0</v>
      </c>
      <c r="E43" s="26" t="str">
        <f t="shared" si="4"/>
        <v/>
      </c>
      <c r="F43" s="26">
        <f t="shared" si="5"/>
        <v>29</v>
      </c>
      <c r="G43" s="29">
        <f t="shared" si="6"/>
        <v>44348</v>
      </c>
      <c r="H43" s="26">
        <f t="shared" si="7"/>
        <v>32</v>
      </c>
      <c r="I43" s="29">
        <f t="shared" si="8"/>
        <v>44409</v>
      </c>
      <c r="J43" s="33">
        <f t="shared" si="9"/>
        <v>80303.24014878273</v>
      </c>
      <c r="K43" s="33">
        <f t="shared" si="10"/>
        <v>46063.200017929077</v>
      </c>
      <c r="L43" s="19">
        <f t="shared" si="11"/>
        <v>2.0150210740012957</v>
      </c>
      <c r="M43" s="19">
        <f t="shared" si="12"/>
        <v>2.0150210740012957</v>
      </c>
      <c r="N43" s="33">
        <f t="shared" si="13"/>
        <v>92818.318772063954</v>
      </c>
      <c r="O43" s="33">
        <f t="shared" si="14"/>
        <v>111548.1056433597</v>
      </c>
      <c r="P43" s="35">
        <f t="shared" si="15"/>
        <v>0.42638429118694382</v>
      </c>
      <c r="Q43" s="35">
        <f t="shared" si="16"/>
        <v>0.155847741636499</v>
      </c>
      <c r="R43" s="35">
        <f t="shared" si="17"/>
        <v>0.38908598752289064</v>
      </c>
      <c r="S43" s="35">
        <f t="shared" si="18"/>
        <v>-0.42638429118694376</v>
      </c>
      <c r="T43" s="35">
        <f t="shared" si="19"/>
        <v>0.15584774163649895</v>
      </c>
      <c r="U43" s="35">
        <f t="shared" si="20"/>
        <v>0.3890859875228907</v>
      </c>
    </row>
    <row r="44" spans="1:21" x14ac:dyDescent="0.25">
      <c r="A44" s="26">
        <f t="shared" si="0"/>
        <v>5</v>
      </c>
      <c r="B44" s="26">
        <f t="shared" si="1"/>
        <v>4</v>
      </c>
      <c r="C44" s="26">
        <f t="shared" si="2"/>
        <v>35</v>
      </c>
      <c r="D44" s="26">
        <f t="shared" si="3"/>
        <v>0</v>
      </c>
      <c r="E44" s="26" t="str">
        <f t="shared" si="4"/>
        <v/>
      </c>
      <c r="F44" s="26">
        <f t="shared" si="5"/>
        <v>29</v>
      </c>
      <c r="G44" s="29">
        <f t="shared" si="6"/>
        <v>44348</v>
      </c>
      <c r="H44" s="26">
        <f t="shared" si="7"/>
        <v>33</v>
      </c>
      <c r="I44" s="29">
        <f t="shared" si="8"/>
        <v>44440</v>
      </c>
      <c r="J44" s="33">
        <f t="shared" si="9"/>
        <v>84924.860115528107</v>
      </c>
      <c r="K44" s="33">
        <f t="shared" si="10"/>
        <v>42591.050033092499</v>
      </c>
      <c r="L44" s="19">
        <f t="shared" si="11"/>
        <v>2.0150210740012957</v>
      </c>
      <c r="M44" s="19">
        <f t="shared" si="12"/>
        <v>2.0150210740012957</v>
      </c>
      <c r="N44" s="33">
        <f t="shared" si="13"/>
        <v>85821.86338052497</v>
      </c>
      <c r="O44" s="33">
        <f t="shared" si="14"/>
        <v>110669.5408404128</v>
      </c>
      <c r="P44" s="35">
        <f t="shared" si="15"/>
        <v>0.49848548499045536</v>
      </c>
      <c r="Q44" s="35">
        <f t="shared" si="16"/>
        <v>1.0562316661771582E-2</v>
      </c>
      <c r="R44" s="35">
        <f t="shared" si="17"/>
        <v>0.30314657792621313</v>
      </c>
      <c r="S44" s="35">
        <f t="shared" si="18"/>
        <v>-0.49848548499045542</v>
      </c>
      <c r="T44" s="35">
        <f t="shared" si="19"/>
        <v>1.0562316661771654E-2</v>
      </c>
      <c r="U44" s="35">
        <f t="shared" si="20"/>
        <v>0.30314657792621302</v>
      </c>
    </row>
    <row r="45" spans="1:21" x14ac:dyDescent="0.25">
      <c r="A45" s="26">
        <f t="shared" si="0"/>
        <v>5</v>
      </c>
      <c r="B45" s="26">
        <f t="shared" si="1"/>
        <v>5</v>
      </c>
      <c r="C45" s="26">
        <f t="shared" si="2"/>
        <v>35</v>
      </c>
      <c r="D45" s="26">
        <f t="shared" si="3"/>
        <v>0</v>
      </c>
      <c r="E45" s="26" t="str">
        <f t="shared" si="4"/>
        <v/>
      </c>
      <c r="F45" s="26">
        <f t="shared" si="5"/>
        <v>29</v>
      </c>
      <c r="G45" s="29">
        <f t="shared" si="6"/>
        <v>44348</v>
      </c>
      <c r="H45" s="26">
        <f t="shared" si="7"/>
        <v>34</v>
      </c>
      <c r="I45" s="29">
        <f t="shared" si="8"/>
        <v>44470</v>
      </c>
      <c r="J45" s="33">
        <f t="shared" si="9"/>
        <v>91275.620025634766</v>
      </c>
      <c r="K45" s="33">
        <f t="shared" si="10"/>
        <v>49207.389997005463</v>
      </c>
      <c r="L45" s="19">
        <f t="shared" si="11"/>
        <v>2.0150210740012957</v>
      </c>
      <c r="M45" s="19">
        <f t="shared" si="12"/>
        <v>2.0150210740012957</v>
      </c>
      <c r="N45" s="33">
        <f t="shared" si="13"/>
        <v>99153.927840566568</v>
      </c>
      <c r="O45" s="33">
        <f t="shared" si="14"/>
        <v>131422.46254395609</v>
      </c>
      <c r="P45" s="35">
        <f t="shared" si="15"/>
        <v>0.46089229541047694</v>
      </c>
      <c r="Q45" s="35">
        <f t="shared" si="16"/>
        <v>8.6313385904354084E-2</v>
      </c>
      <c r="R45" s="35">
        <f t="shared" si="17"/>
        <v>0.43984190419135011</v>
      </c>
      <c r="S45" s="35">
        <f t="shared" si="18"/>
        <v>-0.46089229541047694</v>
      </c>
      <c r="T45" s="35">
        <f t="shared" si="19"/>
        <v>8.6313385904354112E-2</v>
      </c>
      <c r="U45" s="35">
        <f t="shared" si="20"/>
        <v>0.43984190419135016</v>
      </c>
    </row>
    <row r="46" spans="1:21" x14ac:dyDescent="0.25">
      <c r="A46" s="26">
        <f t="shared" si="0"/>
        <v>5</v>
      </c>
      <c r="B46" s="26">
        <f t="shared" si="1"/>
        <v>6</v>
      </c>
      <c r="C46" s="26">
        <f t="shared" si="2"/>
        <v>35</v>
      </c>
      <c r="D46" s="26">
        <f t="shared" si="3"/>
        <v>0</v>
      </c>
      <c r="E46" s="26" t="str">
        <f t="shared" si="4"/>
        <v/>
      </c>
      <c r="F46" s="26">
        <f t="shared" si="5"/>
        <v>29</v>
      </c>
      <c r="G46" s="29">
        <f t="shared" si="6"/>
        <v>44348</v>
      </c>
      <c r="H46" s="26">
        <f t="shared" si="7"/>
        <v>35</v>
      </c>
      <c r="I46" s="29">
        <f t="shared" si="8"/>
        <v>44501</v>
      </c>
      <c r="J46" s="33">
        <f t="shared" si="9"/>
        <v>94327.220094442368</v>
      </c>
      <c r="K46" s="33">
        <f t="shared" si="10"/>
        <v>54805.390057325363</v>
      </c>
      <c r="L46" s="19">
        <f t="shared" si="11"/>
        <v>2.0150210740012957</v>
      </c>
      <c r="M46" s="19">
        <f t="shared" si="12"/>
        <v>2.0150210740012957</v>
      </c>
      <c r="N46" s="33">
        <f t="shared" si="13"/>
        <v>110434.01593437168</v>
      </c>
      <c r="O46" s="33">
        <f t="shared" si="14"/>
        <v>146077.80105006951</v>
      </c>
      <c r="P46" s="35">
        <f t="shared" si="15"/>
        <v>0.41898648128871951</v>
      </c>
      <c r="Q46" s="35">
        <f t="shared" si="16"/>
        <v>0.17075448448287625</v>
      </c>
      <c r="R46" s="35">
        <f t="shared" si="17"/>
        <v>0.54862828464374747</v>
      </c>
      <c r="S46" s="35">
        <f t="shared" si="18"/>
        <v>-0.41898648128871951</v>
      </c>
      <c r="T46" s="35">
        <f t="shared" si="19"/>
        <v>0.17075448448287633</v>
      </c>
      <c r="U46" s="35">
        <f t="shared" si="20"/>
        <v>0.54862828464374735</v>
      </c>
    </row>
    <row r="47" spans="1:21" x14ac:dyDescent="0.25">
      <c r="A47" s="26">
        <f t="shared" si="0"/>
        <v>5</v>
      </c>
      <c r="B47" s="26">
        <f t="shared" si="1"/>
        <v>7</v>
      </c>
      <c r="C47" s="26">
        <f t="shared" si="2"/>
        <v>35</v>
      </c>
      <c r="D47" s="26">
        <f t="shared" si="3"/>
        <v>0</v>
      </c>
      <c r="E47" s="26" t="str">
        <f t="shared" si="4"/>
        <v/>
      </c>
      <c r="F47" s="26">
        <f t="shared" si="5"/>
        <v>29</v>
      </c>
      <c r="G47" s="29">
        <f t="shared" si="6"/>
        <v>44348</v>
      </c>
      <c r="H47" s="26">
        <f t="shared" si="7"/>
        <v>36</v>
      </c>
      <c r="I47" s="29">
        <f t="shared" si="8"/>
        <v>44531</v>
      </c>
      <c r="J47" s="33">
        <f t="shared" si="9"/>
        <v>95950.710146665573</v>
      </c>
      <c r="K47" s="33">
        <f t="shared" si="10"/>
        <v>51901.930014848709</v>
      </c>
      <c r="L47" s="19">
        <f t="shared" si="11"/>
        <v>2.0150210740012957</v>
      </c>
      <c r="M47" s="19">
        <f t="shared" si="12"/>
        <v>2.0150210740012957</v>
      </c>
      <c r="N47" s="33">
        <f t="shared" si="13"/>
        <v>104583.48276126053</v>
      </c>
      <c r="O47" s="33">
        <f t="shared" si="14"/>
        <v>148853.7962088481</v>
      </c>
      <c r="P47" s="35">
        <f t="shared" si="15"/>
        <v>0.45907716643770585</v>
      </c>
      <c r="Q47" s="35">
        <f t="shared" si="16"/>
        <v>8.997090903651804E-2</v>
      </c>
      <c r="R47" s="35">
        <f t="shared" si="17"/>
        <v>0.5513568996135354</v>
      </c>
      <c r="S47" s="35">
        <f t="shared" si="18"/>
        <v>-0.45907716643770591</v>
      </c>
      <c r="T47" s="35">
        <f t="shared" si="19"/>
        <v>8.9970909036517943E-2</v>
      </c>
      <c r="U47" s="35">
        <f t="shared" si="20"/>
        <v>0.5513568996135354</v>
      </c>
    </row>
    <row r="48" spans="1:21" x14ac:dyDescent="0.25">
      <c r="A48" s="37">
        <f t="shared" si="0"/>
        <v>5</v>
      </c>
      <c r="B48" s="37">
        <f t="shared" si="1"/>
        <v>8</v>
      </c>
      <c r="C48" s="37">
        <f t="shared" si="2"/>
        <v>35</v>
      </c>
      <c r="D48" s="37">
        <f t="shared" si="3"/>
        <v>0</v>
      </c>
      <c r="E48" s="37" t="str">
        <f t="shared" si="4"/>
        <v/>
      </c>
      <c r="F48" s="37">
        <f t="shared" si="5"/>
        <v>29</v>
      </c>
      <c r="G48" s="38">
        <f t="shared" si="6"/>
        <v>44348</v>
      </c>
      <c r="H48" s="37">
        <f t="shared" si="7"/>
        <v>37</v>
      </c>
      <c r="I48" s="38">
        <f t="shared" si="8"/>
        <v>44562</v>
      </c>
      <c r="J48" s="39">
        <f t="shared" si="9"/>
        <v>113670.3201682568</v>
      </c>
      <c r="K48" s="39">
        <f t="shared" si="10"/>
        <v>61942.760003089898</v>
      </c>
      <c r="L48" s="40">
        <f t="shared" si="11"/>
        <v>2.0150210740012957</v>
      </c>
      <c r="M48" s="40">
        <f t="shared" si="12"/>
        <v>2.0150210740012957</v>
      </c>
      <c r="N48" s="39">
        <f t="shared" si="13"/>
        <v>124815.96678803071</v>
      </c>
      <c r="O48" s="39">
        <f t="shared" si="14"/>
        <v>176362.96403676129</v>
      </c>
      <c r="P48" s="41">
        <f t="shared" si="15"/>
        <v>0.45506654761417814</v>
      </c>
      <c r="Q48" s="41">
        <f t="shared" si="16"/>
        <v>9.8052390485712765E-2</v>
      </c>
      <c r="R48" s="41">
        <f t="shared" si="17"/>
        <v>0.55153045910054388</v>
      </c>
      <c r="S48" s="41">
        <f t="shared" si="18"/>
        <v>-0.45506654761417809</v>
      </c>
      <c r="T48" s="41">
        <f t="shared" si="19"/>
        <v>9.8052390485712682E-2</v>
      </c>
      <c r="U48" s="41">
        <f t="shared" si="20"/>
        <v>0.55153045910054388</v>
      </c>
    </row>
    <row r="49" spans="1:21" x14ac:dyDescent="0.25">
      <c r="A49" s="26">
        <f t="shared" si="0"/>
        <v>6</v>
      </c>
      <c r="B49" s="26">
        <f t="shared" si="1"/>
        <v>1</v>
      </c>
      <c r="C49" s="26">
        <f t="shared" si="2"/>
        <v>34</v>
      </c>
      <c r="D49" s="26">
        <f t="shared" si="3"/>
        <v>0</v>
      </c>
      <c r="E49" s="26" t="str">
        <f t="shared" si="4"/>
        <v/>
      </c>
      <c r="F49" s="26">
        <f t="shared" si="5"/>
        <v>30</v>
      </c>
      <c r="G49" s="29">
        <f t="shared" si="6"/>
        <v>44378</v>
      </c>
      <c r="H49" s="26">
        <f t="shared" si="7"/>
        <v>31</v>
      </c>
      <c r="I49" s="29">
        <f t="shared" si="8"/>
        <v>44378</v>
      </c>
      <c r="J49" s="33">
        <f t="shared" si="9"/>
        <v>80016.69003367424</v>
      </c>
      <c r="K49" s="33">
        <f t="shared" si="10"/>
        <v>44275.790027856827</v>
      </c>
      <c r="L49" s="19">
        <f t="shared" si="11"/>
        <v>2.0635178137551113</v>
      </c>
      <c r="M49" s="19">
        <f t="shared" si="12"/>
        <v>2.0635178137551113</v>
      </c>
      <c r="N49" s="33">
        <f t="shared" si="13"/>
        <v>91363.881440563477</v>
      </c>
      <c r="O49" s="33">
        <f t="shared" si="14"/>
        <v>92037.816936431787</v>
      </c>
      <c r="P49" s="35">
        <f t="shared" si="15"/>
        <v>0.44666806375990065</v>
      </c>
      <c r="Q49" s="35">
        <f t="shared" si="16"/>
        <v>0.14181030735105241</v>
      </c>
      <c r="R49" s="35">
        <f t="shared" si="17"/>
        <v>0.15023274391503288</v>
      </c>
      <c r="S49" s="35">
        <f t="shared" si="18"/>
        <v>-0.44666806375990065</v>
      </c>
      <c r="T49" s="35">
        <f t="shared" si="19"/>
        <v>0.14181030735105238</v>
      </c>
      <c r="U49" s="35">
        <f t="shared" si="20"/>
        <v>0.15023274391503283</v>
      </c>
    </row>
    <row r="50" spans="1:21" x14ac:dyDescent="0.25">
      <c r="A50" s="26">
        <f t="shared" si="0"/>
        <v>6</v>
      </c>
      <c r="B50" s="26">
        <f t="shared" si="1"/>
        <v>2</v>
      </c>
      <c r="C50" s="26">
        <f t="shared" si="2"/>
        <v>34</v>
      </c>
      <c r="D50" s="26">
        <f t="shared" si="3"/>
        <v>0</v>
      </c>
      <c r="E50" s="26" t="str">
        <f t="shared" si="4"/>
        <v/>
      </c>
      <c r="F50" s="26">
        <f t="shared" si="5"/>
        <v>30</v>
      </c>
      <c r="G50" s="29">
        <f t="shared" si="6"/>
        <v>44378</v>
      </c>
      <c r="H50" s="26">
        <f t="shared" si="7"/>
        <v>32</v>
      </c>
      <c r="I50" s="29">
        <f t="shared" si="8"/>
        <v>44409</v>
      </c>
      <c r="J50" s="33">
        <f t="shared" si="9"/>
        <v>80303.24014878273</v>
      </c>
      <c r="K50" s="33">
        <f t="shared" si="10"/>
        <v>46063.200017929077</v>
      </c>
      <c r="L50" s="19">
        <f t="shared" si="11"/>
        <v>2.0635178137551113</v>
      </c>
      <c r="M50" s="19">
        <f t="shared" si="12"/>
        <v>2.0635178137551113</v>
      </c>
      <c r="N50" s="33">
        <f t="shared" si="13"/>
        <v>95052.23379556142</v>
      </c>
      <c r="O50" s="33">
        <f t="shared" si="14"/>
        <v>101245.73767748709</v>
      </c>
      <c r="P50" s="35">
        <f t="shared" si="15"/>
        <v>0.42638429118694382</v>
      </c>
      <c r="Q50" s="35">
        <f t="shared" si="16"/>
        <v>0.18366623338550633</v>
      </c>
      <c r="R50" s="35">
        <f t="shared" si="17"/>
        <v>0.26079268395525407</v>
      </c>
      <c r="S50" s="35">
        <f t="shared" si="18"/>
        <v>-0.42638429118694376</v>
      </c>
      <c r="T50" s="35">
        <f t="shared" si="19"/>
        <v>0.18366623338550636</v>
      </c>
      <c r="U50" s="35">
        <f t="shared" si="20"/>
        <v>0.26079268395525412</v>
      </c>
    </row>
    <row r="51" spans="1:21" x14ac:dyDescent="0.25">
      <c r="A51" s="26">
        <f t="shared" si="0"/>
        <v>6</v>
      </c>
      <c r="B51" s="26">
        <f t="shared" si="1"/>
        <v>3</v>
      </c>
      <c r="C51" s="26">
        <f t="shared" si="2"/>
        <v>34</v>
      </c>
      <c r="D51" s="26">
        <f t="shared" si="3"/>
        <v>0</v>
      </c>
      <c r="E51" s="26" t="str">
        <f t="shared" si="4"/>
        <v/>
      </c>
      <c r="F51" s="26">
        <f t="shared" si="5"/>
        <v>30</v>
      </c>
      <c r="G51" s="29">
        <f t="shared" si="6"/>
        <v>44378</v>
      </c>
      <c r="H51" s="26">
        <f t="shared" si="7"/>
        <v>33</v>
      </c>
      <c r="I51" s="29">
        <f t="shared" si="8"/>
        <v>44440</v>
      </c>
      <c r="J51" s="33">
        <f t="shared" si="9"/>
        <v>84924.860115528107</v>
      </c>
      <c r="K51" s="33">
        <f t="shared" si="10"/>
        <v>42591.050033092499</v>
      </c>
      <c r="L51" s="19">
        <f t="shared" si="11"/>
        <v>2.0635178137551113</v>
      </c>
      <c r="M51" s="19">
        <f t="shared" si="12"/>
        <v>2.0635178137551113</v>
      </c>
      <c r="N51" s="33">
        <f t="shared" si="13"/>
        <v>87887.3904498216</v>
      </c>
      <c r="O51" s="33">
        <f t="shared" si="14"/>
        <v>100448.9005256463</v>
      </c>
      <c r="P51" s="35">
        <f t="shared" si="15"/>
        <v>0.49848548499045536</v>
      </c>
      <c r="Q51" s="35">
        <f t="shared" si="16"/>
        <v>3.4884135578950558E-2</v>
      </c>
      <c r="R51" s="35">
        <f t="shared" si="17"/>
        <v>0.1827973621504935</v>
      </c>
      <c r="S51" s="35">
        <f t="shared" si="18"/>
        <v>-0.49848548499045542</v>
      </c>
      <c r="T51" s="35">
        <f t="shared" si="19"/>
        <v>3.4884135578950648E-2</v>
      </c>
      <c r="U51" s="35">
        <f t="shared" si="20"/>
        <v>0.18279736215049347</v>
      </c>
    </row>
    <row r="52" spans="1:21" x14ac:dyDescent="0.25">
      <c r="A52" s="26">
        <f t="shared" si="0"/>
        <v>6</v>
      </c>
      <c r="B52" s="26">
        <f t="shared" si="1"/>
        <v>4</v>
      </c>
      <c r="C52" s="26">
        <f t="shared" si="2"/>
        <v>34</v>
      </c>
      <c r="D52" s="26">
        <f t="shared" si="3"/>
        <v>0</v>
      </c>
      <c r="E52" s="26" t="str">
        <f t="shared" si="4"/>
        <v/>
      </c>
      <c r="F52" s="26">
        <f t="shared" si="5"/>
        <v>30</v>
      </c>
      <c r="G52" s="29">
        <f t="shared" si="6"/>
        <v>44378</v>
      </c>
      <c r="H52" s="26">
        <f t="shared" si="7"/>
        <v>34</v>
      </c>
      <c r="I52" s="29">
        <f t="shared" si="8"/>
        <v>44470</v>
      </c>
      <c r="J52" s="33">
        <f t="shared" si="9"/>
        <v>91275.620025634766</v>
      </c>
      <c r="K52" s="33">
        <f t="shared" si="10"/>
        <v>49207.389997005463</v>
      </c>
      <c r="L52" s="19">
        <f t="shared" si="11"/>
        <v>2.0635178137551113</v>
      </c>
      <c r="M52" s="19">
        <f t="shared" si="12"/>
        <v>2.0635178137551113</v>
      </c>
      <c r="N52" s="33">
        <f t="shared" si="13"/>
        <v>101540.32582721584</v>
      </c>
      <c r="O52" s="33">
        <f t="shared" si="14"/>
        <v>119285.78936719859</v>
      </c>
      <c r="P52" s="35">
        <f t="shared" si="15"/>
        <v>0.46089229541047694</v>
      </c>
      <c r="Q52" s="35">
        <f t="shared" si="16"/>
        <v>0.11245835195310898</v>
      </c>
      <c r="R52" s="35">
        <f t="shared" si="17"/>
        <v>0.30687459952282076</v>
      </c>
      <c r="S52" s="35">
        <f t="shared" si="18"/>
        <v>-0.46089229541047694</v>
      </c>
      <c r="T52" s="35">
        <f t="shared" si="19"/>
        <v>0.11245835195310905</v>
      </c>
      <c r="U52" s="35">
        <f t="shared" si="20"/>
        <v>0.30687459952282081</v>
      </c>
    </row>
    <row r="53" spans="1:21" x14ac:dyDescent="0.25">
      <c r="A53" s="26">
        <f t="shared" si="0"/>
        <v>6</v>
      </c>
      <c r="B53" s="26">
        <f t="shared" si="1"/>
        <v>5</v>
      </c>
      <c r="C53" s="26">
        <f t="shared" si="2"/>
        <v>34</v>
      </c>
      <c r="D53" s="26">
        <f t="shared" si="3"/>
        <v>0</v>
      </c>
      <c r="E53" s="26" t="str">
        <f t="shared" si="4"/>
        <v/>
      </c>
      <c r="F53" s="26">
        <f t="shared" si="5"/>
        <v>30</v>
      </c>
      <c r="G53" s="29">
        <f t="shared" si="6"/>
        <v>44378</v>
      </c>
      <c r="H53" s="26">
        <f t="shared" si="7"/>
        <v>35</v>
      </c>
      <c r="I53" s="29">
        <f t="shared" si="8"/>
        <v>44501</v>
      </c>
      <c r="J53" s="33">
        <f t="shared" si="9"/>
        <v>94327.220094442368</v>
      </c>
      <c r="K53" s="33">
        <f t="shared" si="10"/>
        <v>54805.390057325363</v>
      </c>
      <c r="L53" s="19">
        <f t="shared" si="11"/>
        <v>2.0635178137551113</v>
      </c>
      <c r="M53" s="19">
        <f t="shared" si="12"/>
        <v>2.0635178137551113</v>
      </c>
      <c r="N53" s="33">
        <f t="shared" si="13"/>
        <v>113091.89867308814</v>
      </c>
      <c r="O53" s="33">
        <f t="shared" si="14"/>
        <v>132588.10750061661</v>
      </c>
      <c r="P53" s="35">
        <f t="shared" si="15"/>
        <v>0.41898648128871951</v>
      </c>
      <c r="Q53" s="35">
        <f t="shared" si="16"/>
        <v>0.19893174589326593</v>
      </c>
      <c r="R53" s="35">
        <f t="shared" si="17"/>
        <v>0.40561873198284276</v>
      </c>
      <c r="S53" s="35">
        <f t="shared" si="18"/>
        <v>-0.41898648128871951</v>
      </c>
      <c r="T53" s="35">
        <f t="shared" si="19"/>
        <v>0.19893174589326601</v>
      </c>
      <c r="U53" s="35">
        <f t="shared" si="20"/>
        <v>0.40561873198284282</v>
      </c>
    </row>
    <row r="54" spans="1:21" x14ac:dyDescent="0.25">
      <c r="A54" s="26">
        <f t="shared" si="0"/>
        <v>6</v>
      </c>
      <c r="B54" s="26">
        <f t="shared" si="1"/>
        <v>6</v>
      </c>
      <c r="C54" s="26">
        <f t="shared" si="2"/>
        <v>34</v>
      </c>
      <c r="D54" s="26">
        <f t="shared" si="3"/>
        <v>0</v>
      </c>
      <c r="E54" s="26" t="str">
        <f t="shared" si="4"/>
        <v/>
      </c>
      <c r="F54" s="26">
        <f t="shared" si="5"/>
        <v>30</v>
      </c>
      <c r="G54" s="29">
        <f t="shared" si="6"/>
        <v>44378</v>
      </c>
      <c r="H54" s="26">
        <f t="shared" si="7"/>
        <v>36</v>
      </c>
      <c r="I54" s="29">
        <f t="shared" si="8"/>
        <v>44531</v>
      </c>
      <c r="J54" s="33">
        <f t="shared" si="9"/>
        <v>95950.710146665573</v>
      </c>
      <c r="K54" s="33">
        <f t="shared" si="10"/>
        <v>51901.930014848709</v>
      </c>
      <c r="L54" s="19">
        <f t="shared" si="11"/>
        <v>2.0635178137551113</v>
      </c>
      <c r="M54" s="19">
        <f t="shared" si="12"/>
        <v>2.0635178137551113</v>
      </c>
      <c r="N54" s="33">
        <f t="shared" si="13"/>
        <v>107100.5571539114</v>
      </c>
      <c r="O54" s="33">
        <f t="shared" si="14"/>
        <v>135108.13966077199</v>
      </c>
      <c r="P54" s="35">
        <f t="shared" si="15"/>
        <v>0.45907716643770585</v>
      </c>
      <c r="Q54" s="35">
        <f t="shared" si="16"/>
        <v>0.11620390292268518</v>
      </c>
      <c r="R54" s="35">
        <f t="shared" si="17"/>
        <v>0.40809942369631541</v>
      </c>
      <c r="S54" s="35">
        <f t="shared" si="18"/>
        <v>-0.45907716643770591</v>
      </c>
      <c r="T54" s="35">
        <f t="shared" si="19"/>
        <v>0.11620390292268512</v>
      </c>
      <c r="U54" s="35">
        <f t="shared" si="20"/>
        <v>0.40809942369631536</v>
      </c>
    </row>
    <row r="55" spans="1:21" x14ac:dyDescent="0.25">
      <c r="A55" s="26">
        <f t="shared" si="0"/>
        <v>6</v>
      </c>
      <c r="B55" s="26">
        <f t="shared" si="1"/>
        <v>7</v>
      </c>
      <c r="C55" s="26">
        <f t="shared" si="2"/>
        <v>34</v>
      </c>
      <c r="D55" s="26">
        <f t="shared" si="3"/>
        <v>0</v>
      </c>
      <c r="E55" s="26" t="str">
        <f t="shared" si="4"/>
        <v/>
      </c>
      <c r="F55" s="26">
        <f t="shared" si="5"/>
        <v>30</v>
      </c>
      <c r="G55" s="29">
        <f t="shared" si="6"/>
        <v>44378</v>
      </c>
      <c r="H55" s="26">
        <f t="shared" si="7"/>
        <v>37</v>
      </c>
      <c r="I55" s="29">
        <f t="shared" si="8"/>
        <v>44562</v>
      </c>
      <c r="J55" s="33">
        <f t="shared" si="9"/>
        <v>113670.3201682568</v>
      </c>
      <c r="K55" s="33">
        <f t="shared" si="10"/>
        <v>61942.760003089898</v>
      </c>
      <c r="L55" s="19">
        <f t="shared" si="11"/>
        <v>2.0635178137551113</v>
      </c>
      <c r="M55" s="19">
        <f t="shared" si="12"/>
        <v>2.0635178137551113</v>
      </c>
      <c r="N55" s="33">
        <f t="shared" si="13"/>
        <v>127819.98869953361</v>
      </c>
      <c r="O55" s="33">
        <f t="shared" si="14"/>
        <v>160077.30531265811</v>
      </c>
      <c r="P55" s="35">
        <f t="shared" si="15"/>
        <v>0.45506654761417814</v>
      </c>
      <c r="Q55" s="35">
        <f t="shared" si="16"/>
        <v>0.12447988630921618</v>
      </c>
      <c r="R55" s="35">
        <f t="shared" si="17"/>
        <v>0.40825947420319453</v>
      </c>
      <c r="S55" s="35">
        <f t="shared" si="18"/>
        <v>-0.45506654761417809</v>
      </c>
      <c r="T55" s="35">
        <f t="shared" si="19"/>
        <v>0.12447988630921625</v>
      </c>
      <c r="U55" s="35">
        <f t="shared" si="20"/>
        <v>0.40825947420319464</v>
      </c>
    </row>
    <row r="56" spans="1:21" x14ac:dyDescent="0.25">
      <c r="A56" s="37">
        <f t="shared" si="0"/>
        <v>6</v>
      </c>
      <c r="B56" s="37">
        <f t="shared" si="1"/>
        <v>8</v>
      </c>
      <c r="C56" s="37">
        <f t="shared" si="2"/>
        <v>34</v>
      </c>
      <c r="D56" s="37">
        <f t="shared" si="3"/>
        <v>0</v>
      </c>
      <c r="E56" s="37" t="str">
        <f t="shared" si="4"/>
        <v/>
      </c>
      <c r="F56" s="37">
        <f t="shared" si="5"/>
        <v>30</v>
      </c>
      <c r="G56" s="38">
        <f t="shared" si="6"/>
        <v>44378</v>
      </c>
      <c r="H56" s="37">
        <f t="shared" si="7"/>
        <v>38</v>
      </c>
      <c r="I56" s="38">
        <f t="shared" si="8"/>
        <v>44593</v>
      </c>
      <c r="J56" s="39">
        <f t="shared" si="9"/>
        <v>98015.390212059021</v>
      </c>
      <c r="K56" s="39">
        <f t="shared" si="10"/>
        <v>56663.070067644119</v>
      </c>
      <c r="L56" s="40">
        <f t="shared" si="11"/>
        <v>2.0635178137551113</v>
      </c>
      <c r="M56" s="40">
        <f t="shared" si="12"/>
        <v>2.0635178137551113</v>
      </c>
      <c r="N56" s="39">
        <f t="shared" si="13"/>
        <v>116925.25446663768</v>
      </c>
      <c r="O56" s="39">
        <f t="shared" si="14"/>
        <v>179945.23291861499</v>
      </c>
      <c r="P56" s="41">
        <f t="shared" si="15"/>
        <v>0.42189619461747802</v>
      </c>
      <c r="Q56" s="41">
        <f t="shared" si="16"/>
        <v>0.19292750060645211</v>
      </c>
      <c r="R56" s="41">
        <f t="shared" si="17"/>
        <v>0.83588753285885486</v>
      </c>
      <c r="S56" s="41">
        <f t="shared" si="18"/>
        <v>-0.42189619461747796</v>
      </c>
      <c r="T56" s="41">
        <f t="shared" si="19"/>
        <v>0.19292750060645214</v>
      </c>
      <c r="U56" s="41">
        <f t="shared" si="20"/>
        <v>0.83588753285885486</v>
      </c>
    </row>
    <row r="57" spans="1:21" x14ac:dyDescent="0.25">
      <c r="A57" s="26">
        <f t="shared" si="0"/>
        <v>7</v>
      </c>
      <c r="B57" s="26">
        <f t="shared" si="1"/>
        <v>1</v>
      </c>
      <c r="C57" s="26">
        <f t="shared" si="2"/>
        <v>33</v>
      </c>
      <c r="D57" s="26">
        <f t="shared" si="3"/>
        <v>0</v>
      </c>
      <c r="E57" s="26" t="str">
        <f t="shared" si="4"/>
        <v/>
      </c>
      <c r="F57" s="26">
        <f t="shared" si="5"/>
        <v>31</v>
      </c>
      <c r="G57" s="29">
        <f t="shared" si="6"/>
        <v>44409</v>
      </c>
      <c r="H57" s="26">
        <f t="shared" si="7"/>
        <v>32</v>
      </c>
      <c r="I57" s="29">
        <f t="shared" si="8"/>
        <v>44409</v>
      </c>
      <c r="J57" s="33">
        <f t="shared" si="9"/>
        <v>80303.24014878273</v>
      </c>
      <c r="K57" s="33">
        <f t="shared" si="10"/>
        <v>46063.200017929077</v>
      </c>
      <c r="L57" s="19">
        <f t="shared" si="11"/>
        <v>1.807233478687347</v>
      </c>
      <c r="M57" s="19">
        <f t="shared" si="12"/>
        <v>1.807233478687347</v>
      </c>
      <c r="N57" s="33">
        <f t="shared" si="13"/>
        <v>83246.957207873027</v>
      </c>
      <c r="O57" s="33">
        <f t="shared" si="14"/>
        <v>88021.500612414631</v>
      </c>
      <c r="P57" s="35">
        <f t="shared" si="15"/>
        <v>0.42638429118694382</v>
      </c>
      <c r="Q57" s="35">
        <f t="shared" si="16"/>
        <v>3.6657512867927775E-2</v>
      </c>
      <c r="R57" s="35">
        <f t="shared" si="17"/>
        <v>9.6113935743212947E-2</v>
      </c>
      <c r="S57" s="35">
        <f t="shared" si="18"/>
        <v>-0.42638429118694376</v>
      </c>
      <c r="T57" s="35">
        <f t="shared" si="19"/>
        <v>3.6657512867927844E-2</v>
      </c>
      <c r="U57" s="35">
        <f t="shared" si="20"/>
        <v>9.611393574321303E-2</v>
      </c>
    </row>
    <row r="58" spans="1:21" x14ac:dyDescent="0.25">
      <c r="A58" s="26">
        <f t="shared" si="0"/>
        <v>7</v>
      </c>
      <c r="B58" s="26">
        <f t="shared" si="1"/>
        <v>2</v>
      </c>
      <c r="C58" s="26">
        <f t="shared" si="2"/>
        <v>33</v>
      </c>
      <c r="D58" s="26">
        <f t="shared" si="3"/>
        <v>0</v>
      </c>
      <c r="E58" s="26" t="str">
        <f t="shared" si="4"/>
        <v/>
      </c>
      <c r="F58" s="26">
        <f t="shared" si="5"/>
        <v>31</v>
      </c>
      <c r="G58" s="29">
        <f t="shared" si="6"/>
        <v>44409</v>
      </c>
      <c r="H58" s="26">
        <f t="shared" si="7"/>
        <v>33</v>
      </c>
      <c r="I58" s="29">
        <f t="shared" si="8"/>
        <v>44440</v>
      </c>
      <c r="J58" s="33">
        <f t="shared" si="9"/>
        <v>84924.860115528107</v>
      </c>
      <c r="K58" s="33">
        <f t="shared" si="10"/>
        <v>42591.050033092499</v>
      </c>
      <c r="L58" s="19">
        <f t="shared" si="11"/>
        <v>1.807233478687347</v>
      </c>
      <c r="M58" s="19">
        <f t="shared" si="12"/>
        <v>1.807233478687347</v>
      </c>
      <c r="N58" s="33">
        <f t="shared" si="13"/>
        <v>76971.971512252596</v>
      </c>
      <c r="O58" s="33">
        <f t="shared" si="14"/>
        <v>87328.28025669996</v>
      </c>
      <c r="P58" s="35">
        <f t="shared" si="15"/>
        <v>0.49848548499045536</v>
      </c>
      <c r="Q58" s="35">
        <f t="shared" si="16"/>
        <v>9.364617842710303E-2</v>
      </c>
      <c r="R58" s="35">
        <f t="shared" si="17"/>
        <v>2.8300548719213014E-2</v>
      </c>
      <c r="S58" s="35">
        <f t="shared" si="18"/>
        <v>-0.49848548499045542</v>
      </c>
      <c r="T58" s="35">
        <f t="shared" si="19"/>
        <v>-9.3646178427102988E-2</v>
      </c>
      <c r="U58" s="35">
        <f t="shared" si="20"/>
        <v>2.8300548719212948E-2</v>
      </c>
    </row>
    <row r="59" spans="1:21" x14ac:dyDescent="0.25">
      <c r="A59" s="26">
        <f t="shared" si="0"/>
        <v>7</v>
      </c>
      <c r="B59" s="26">
        <f t="shared" si="1"/>
        <v>3</v>
      </c>
      <c r="C59" s="26">
        <f t="shared" si="2"/>
        <v>33</v>
      </c>
      <c r="D59" s="26">
        <f t="shared" si="3"/>
        <v>0</v>
      </c>
      <c r="E59" s="26" t="str">
        <f t="shared" si="4"/>
        <v/>
      </c>
      <c r="F59" s="26">
        <f t="shared" si="5"/>
        <v>31</v>
      </c>
      <c r="G59" s="29">
        <f t="shared" si="6"/>
        <v>44409</v>
      </c>
      <c r="H59" s="26">
        <f t="shared" si="7"/>
        <v>34</v>
      </c>
      <c r="I59" s="29">
        <f t="shared" si="8"/>
        <v>44470</v>
      </c>
      <c r="J59" s="33">
        <f t="shared" si="9"/>
        <v>91275.620025634766</v>
      </c>
      <c r="K59" s="33">
        <f t="shared" si="10"/>
        <v>49207.389997005463</v>
      </c>
      <c r="L59" s="19">
        <f t="shared" si="11"/>
        <v>1.807233478687347</v>
      </c>
      <c r="M59" s="19">
        <f t="shared" si="12"/>
        <v>1.807233478687347</v>
      </c>
      <c r="N59" s="33">
        <f t="shared" si="13"/>
        <v>88929.242601413149</v>
      </c>
      <c r="O59" s="33">
        <f t="shared" si="14"/>
        <v>103703.4384564643</v>
      </c>
      <c r="P59" s="35">
        <f t="shared" si="15"/>
        <v>0.46089229541047694</v>
      </c>
      <c r="Q59" s="35">
        <f t="shared" si="16"/>
        <v>2.5706507647525554E-2</v>
      </c>
      <c r="R59" s="35">
        <f t="shared" si="17"/>
        <v>0.13615704201559164</v>
      </c>
      <c r="S59" s="35">
        <f t="shared" si="18"/>
        <v>-0.46089229541047694</v>
      </c>
      <c r="T59" s="35">
        <f t="shared" si="19"/>
        <v>-2.5706507647525578E-2</v>
      </c>
      <c r="U59" s="35">
        <f t="shared" si="20"/>
        <v>0.13615704201559176</v>
      </c>
    </row>
    <row r="60" spans="1:21" x14ac:dyDescent="0.25">
      <c r="A60" s="26">
        <f t="shared" si="0"/>
        <v>7</v>
      </c>
      <c r="B60" s="26">
        <f t="shared" si="1"/>
        <v>4</v>
      </c>
      <c r="C60" s="26">
        <f t="shared" si="2"/>
        <v>33</v>
      </c>
      <c r="D60" s="26">
        <f t="shared" si="3"/>
        <v>0</v>
      </c>
      <c r="E60" s="26" t="str">
        <f t="shared" si="4"/>
        <v/>
      </c>
      <c r="F60" s="26">
        <f t="shared" si="5"/>
        <v>31</v>
      </c>
      <c r="G60" s="29">
        <f t="shared" si="6"/>
        <v>44409</v>
      </c>
      <c r="H60" s="26">
        <f t="shared" si="7"/>
        <v>35</v>
      </c>
      <c r="I60" s="29">
        <f t="shared" si="8"/>
        <v>44501</v>
      </c>
      <c r="J60" s="33">
        <f t="shared" si="9"/>
        <v>94327.220094442368</v>
      </c>
      <c r="K60" s="33">
        <f t="shared" si="10"/>
        <v>54805.390057325363</v>
      </c>
      <c r="L60" s="19">
        <f t="shared" si="11"/>
        <v>1.807233478687347</v>
      </c>
      <c r="M60" s="19">
        <f t="shared" si="12"/>
        <v>1.807233478687347</v>
      </c>
      <c r="N60" s="33">
        <f t="shared" si="13"/>
        <v>99046.135724117048</v>
      </c>
      <c r="O60" s="33">
        <f t="shared" si="14"/>
        <v>115266.6401331493</v>
      </c>
      <c r="P60" s="35">
        <f t="shared" si="15"/>
        <v>0.41898648128871951</v>
      </c>
      <c r="Q60" s="35">
        <f t="shared" si="16"/>
        <v>5.0027082584963328E-2</v>
      </c>
      <c r="R60" s="35">
        <f t="shared" si="17"/>
        <v>0.22198703637976341</v>
      </c>
      <c r="S60" s="35">
        <f t="shared" si="18"/>
        <v>-0.41898648128871951</v>
      </c>
      <c r="T60" s="35">
        <f t="shared" si="19"/>
        <v>5.0027082584963356E-2</v>
      </c>
      <c r="U60" s="35">
        <f t="shared" si="20"/>
        <v>0.22198703637976336</v>
      </c>
    </row>
    <row r="61" spans="1:21" x14ac:dyDescent="0.25">
      <c r="A61" s="26">
        <f t="shared" si="0"/>
        <v>7</v>
      </c>
      <c r="B61" s="26">
        <f t="shared" si="1"/>
        <v>5</v>
      </c>
      <c r="C61" s="26">
        <f t="shared" si="2"/>
        <v>33</v>
      </c>
      <c r="D61" s="26">
        <f t="shared" si="3"/>
        <v>0</v>
      </c>
      <c r="E61" s="26" t="str">
        <f t="shared" si="4"/>
        <v/>
      </c>
      <c r="F61" s="26">
        <f t="shared" si="5"/>
        <v>31</v>
      </c>
      <c r="G61" s="29">
        <f t="shared" si="6"/>
        <v>44409</v>
      </c>
      <c r="H61" s="26">
        <f t="shared" si="7"/>
        <v>36</v>
      </c>
      <c r="I61" s="29">
        <f t="shared" si="8"/>
        <v>44531</v>
      </c>
      <c r="J61" s="33">
        <f t="shared" si="9"/>
        <v>95950.710146665573</v>
      </c>
      <c r="K61" s="33">
        <f t="shared" si="10"/>
        <v>51901.930014848709</v>
      </c>
      <c r="L61" s="19">
        <f t="shared" si="11"/>
        <v>1.807233478687347</v>
      </c>
      <c r="M61" s="19">
        <f t="shared" si="12"/>
        <v>1.807233478687347</v>
      </c>
      <c r="N61" s="33">
        <f t="shared" si="13"/>
        <v>93798.905531322263</v>
      </c>
      <c r="O61" s="33">
        <f t="shared" si="14"/>
        <v>117457.035869265</v>
      </c>
      <c r="P61" s="35">
        <f t="shared" si="15"/>
        <v>0.45907716643770585</v>
      </c>
      <c r="Q61" s="35">
        <f t="shared" si="16"/>
        <v>2.2426145799798316E-2</v>
      </c>
      <c r="R61" s="35">
        <f t="shared" si="17"/>
        <v>0.22413930746031907</v>
      </c>
      <c r="S61" s="35">
        <f t="shared" si="18"/>
        <v>-0.45907716643770591</v>
      </c>
      <c r="T61" s="35">
        <f t="shared" si="19"/>
        <v>-2.2426145799798292E-2</v>
      </c>
      <c r="U61" s="35">
        <f t="shared" si="20"/>
        <v>0.22413930746031907</v>
      </c>
    </row>
    <row r="62" spans="1:21" x14ac:dyDescent="0.25">
      <c r="A62" s="26">
        <f t="shared" si="0"/>
        <v>7</v>
      </c>
      <c r="B62" s="26">
        <f t="shared" si="1"/>
        <v>6</v>
      </c>
      <c r="C62" s="26">
        <f t="shared" si="2"/>
        <v>33</v>
      </c>
      <c r="D62" s="26">
        <f t="shared" si="3"/>
        <v>0</v>
      </c>
      <c r="E62" s="26" t="str">
        <f t="shared" si="4"/>
        <v/>
      </c>
      <c r="F62" s="26">
        <f t="shared" si="5"/>
        <v>31</v>
      </c>
      <c r="G62" s="29">
        <f t="shared" si="6"/>
        <v>44409</v>
      </c>
      <c r="H62" s="26">
        <f t="shared" si="7"/>
        <v>37</v>
      </c>
      <c r="I62" s="29">
        <f t="shared" si="8"/>
        <v>44562</v>
      </c>
      <c r="J62" s="33">
        <f t="shared" si="9"/>
        <v>113670.3201682568</v>
      </c>
      <c r="K62" s="33">
        <f t="shared" si="10"/>
        <v>61942.760003089898</v>
      </c>
      <c r="L62" s="19">
        <f t="shared" si="11"/>
        <v>1.807233478687347</v>
      </c>
      <c r="M62" s="19">
        <f t="shared" si="12"/>
        <v>1.807233478687347</v>
      </c>
      <c r="N62" s="33">
        <f t="shared" si="13"/>
        <v>111945.02963987962</v>
      </c>
      <c r="O62" s="33">
        <f t="shared" si="14"/>
        <v>139163.74458512681</v>
      </c>
      <c r="P62" s="35">
        <f t="shared" si="15"/>
        <v>0.45506654761417814</v>
      </c>
      <c r="Q62" s="35">
        <f t="shared" si="16"/>
        <v>1.5178021191665319E-2</v>
      </c>
      <c r="R62" s="35">
        <f t="shared" si="17"/>
        <v>0.22427511754285723</v>
      </c>
      <c r="S62" s="35">
        <f t="shared" si="18"/>
        <v>-0.45506654761417809</v>
      </c>
      <c r="T62" s="35">
        <f t="shared" si="19"/>
        <v>-1.5178021191665336E-2</v>
      </c>
      <c r="U62" s="35">
        <f t="shared" si="20"/>
        <v>0.22427511754285723</v>
      </c>
    </row>
    <row r="63" spans="1:21" x14ac:dyDescent="0.25">
      <c r="A63" s="26">
        <f t="shared" si="0"/>
        <v>7</v>
      </c>
      <c r="B63" s="26">
        <f t="shared" si="1"/>
        <v>7</v>
      </c>
      <c r="C63" s="26">
        <f t="shared" si="2"/>
        <v>33</v>
      </c>
      <c r="D63" s="26">
        <f t="shared" si="3"/>
        <v>0</v>
      </c>
      <c r="E63" s="26" t="str">
        <f t="shared" si="4"/>
        <v/>
      </c>
      <c r="F63" s="26">
        <f t="shared" si="5"/>
        <v>31</v>
      </c>
      <c r="G63" s="29">
        <f t="shared" si="6"/>
        <v>44409</v>
      </c>
      <c r="H63" s="26">
        <f t="shared" si="7"/>
        <v>38</v>
      </c>
      <c r="I63" s="29">
        <f t="shared" si="8"/>
        <v>44593</v>
      </c>
      <c r="J63" s="33">
        <f t="shared" si="9"/>
        <v>98015.390212059021</v>
      </c>
      <c r="K63" s="33">
        <f t="shared" si="10"/>
        <v>56663.070067644119</v>
      </c>
      <c r="L63" s="19">
        <f t="shared" si="11"/>
        <v>1.807233478687347</v>
      </c>
      <c r="M63" s="19">
        <f t="shared" si="12"/>
        <v>1.807233478687347</v>
      </c>
      <c r="N63" s="33">
        <f t="shared" si="13"/>
        <v>102403.39723145336</v>
      </c>
      <c r="O63" s="33">
        <f t="shared" si="14"/>
        <v>156436.62938898991</v>
      </c>
      <c r="P63" s="35">
        <f t="shared" si="15"/>
        <v>0.42189619461747802</v>
      </c>
      <c r="Q63" s="35">
        <f t="shared" si="16"/>
        <v>4.4768551243848174E-2</v>
      </c>
      <c r="R63" s="35">
        <f t="shared" si="17"/>
        <v>0.59604148951031988</v>
      </c>
      <c r="S63" s="35">
        <f t="shared" si="18"/>
        <v>-0.42189619461747796</v>
      </c>
      <c r="T63" s="35">
        <f t="shared" si="19"/>
        <v>4.4768551243848265E-2</v>
      </c>
      <c r="U63" s="35">
        <f t="shared" si="20"/>
        <v>0.59604148951031988</v>
      </c>
    </row>
    <row r="64" spans="1:21" x14ac:dyDescent="0.25">
      <c r="A64" s="37">
        <f t="shared" si="0"/>
        <v>7</v>
      </c>
      <c r="B64" s="37">
        <f t="shared" si="1"/>
        <v>8</v>
      </c>
      <c r="C64" s="37">
        <f t="shared" si="2"/>
        <v>33</v>
      </c>
      <c r="D64" s="37">
        <f t="shared" si="3"/>
        <v>0</v>
      </c>
      <c r="E64" s="37" t="str">
        <f t="shared" si="4"/>
        <v/>
      </c>
      <c r="F64" s="37">
        <f t="shared" si="5"/>
        <v>31</v>
      </c>
      <c r="G64" s="38">
        <f t="shared" si="6"/>
        <v>44409</v>
      </c>
      <c r="H64" s="37">
        <f t="shared" si="7"/>
        <v>39</v>
      </c>
      <c r="I64" s="38">
        <f t="shared" si="8"/>
        <v>44621</v>
      </c>
      <c r="J64" s="39">
        <f t="shared" si="9"/>
        <v>119287.8302438259</v>
      </c>
      <c r="K64" s="39">
        <f t="shared" si="10"/>
        <v>60978.700088500977</v>
      </c>
      <c r="L64" s="40">
        <f t="shared" si="11"/>
        <v>1.807233478687347</v>
      </c>
      <c r="M64" s="40">
        <f t="shared" si="12"/>
        <v>1.807233478687347</v>
      </c>
      <c r="N64" s="39">
        <f t="shared" si="13"/>
        <v>110202.74828677405</v>
      </c>
      <c r="O64" s="39">
        <f t="shared" si="14"/>
        <v>261242.91324337831</v>
      </c>
      <c r="P64" s="41">
        <f t="shared" si="15"/>
        <v>0.48881038439663366</v>
      </c>
      <c r="Q64" s="41">
        <f t="shared" si="16"/>
        <v>7.6161012724280622E-2</v>
      </c>
      <c r="R64" s="41">
        <f t="shared" si="17"/>
        <v>1.1900215026913841</v>
      </c>
      <c r="S64" s="41">
        <f t="shared" si="18"/>
        <v>-0.48881038439663371</v>
      </c>
      <c r="T64" s="41">
        <f t="shared" si="19"/>
        <v>-7.6161012724280663E-2</v>
      </c>
      <c r="U64" s="41">
        <f t="shared" si="20"/>
        <v>1.1900215026913838</v>
      </c>
    </row>
    <row r="65" spans="1:21" x14ac:dyDescent="0.25">
      <c r="A65" s="26">
        <f t="shared" si="0"/>
        <v>8</v>
      </c>
      <c r="B65" s="26">
        <f t="shared" si="1"/>
        <v>1</v>
      </c>
      <c r="C65" s="26">
        <f t="shared" si="2"/>
        <v>32</v>
      </c>
      <c r="D65" s="26">
        <f t="shared" si="3"/>
        <v>0</v>
      </c>
      <c r="E65" s="26" t="str">
        <f t="shared" si="4"/>
        <v/>
      </c>
      <c r="F65" s="26">
        <f t="shared" si="5"/>
        <v>32</v>
      </c>
      <c r="G65" s="29">
        <f t="shared" si="6"/>
        <v>44440</v>
      </c>
      <c r="H65" s="26">
        <f t="shared" si="7"/>
        <v>33</v>
      </c>
      <c r="I65" s="29">
        <f t="shared" si="8"/>
        <v>44440</v>
      </c>
      <c r="J65" s="33">
        <f t="shared" si="9"/>
        <v>84924.860115528107</v>
      </c>
      <c r="K65" s="33">
        <f t="shared" si="10"/>
        <v>42591.050033092499</v>
      </c>
      <c r="L65" s="19">
        <f t="shared" si="11"/>
        <v>1.7433274309541342</v>
      </c>
      <c r="M65" s="19">
        <f t="shared" si="12"/>
        <v>1.7433274309541342</v>
      </c>
      <c r="N65" s="33">
        <f t="shared" si="13"/>
        <v>74250.145835830146</v>
      </c>
      <c r="O65" s="33">
        <f t="shared" si="14"/>
        <v>79670.745759437996</v>
      </c>
      <c r="P65" s="35">
        <f t="shared" si="15"/>
        <v>0.49848548499045536</v>
      </c>
      <c r="Q65" s="35">
        <f t="shared" si="16"/>
        <v>0.12569598896220188</v>
      </c>
      <c r="R65" s="35">
        <f t="shared" si="17"/>
        <v>6.1867801123753882E-2</v>
      </c>
      <c r="S65" s="35">
        <f t="shared" si="18"/>
        <v>-0.49848548499045542</v>
      </c>
      <c r="T65" s="35">
        <f t="shared" si="19"/>
        <v>-0.12569598896220191</v>
      </c>
      <c r="U65" s="35">
        <f t="shared" si="20"/>
        <v>-6.1867801123753896E-2</v>
      </c>
    </row>
    <row r="66" spans="1:21" x14ac:dyDescent="0.25">
      <c r="A66" s="26">
        <f t="shared" si="0"/>
        <v>8</v>
      </c>
      <c r="B66" s="26">
        <f t="shared" si="1"/>
        <v>2</v>
      </c>
      <c r="C66" s="26">
        <f t="shared" si="2"/>
        <v>32</v>
      </c>
      <c r="D66" s="26">
        <f t="shared" si="3"/>
        <v>0</v>
      </c>
      <c r="E66" s="26" t="str">
        <f t="shared" si="4"/>
        <v/>
      </c>
      <c r="F66" s="26">
        <f t="shared" si="5"/>
        <v>32</v>
      </c>
      <c r="G66" s="29">
        <f t="shared" si="6"/>
        <v>44440</v>
      </c>
      <c r="H66" s="26">
        <f t="shared" si="7"/>
        <v>34</v>
      </c>
      <c r="I66" s="29">
        <f t="shared" si="8"/>
        <v>44470</v>
      </c>
      <c r="J66" s="33">
        <f t="shared" si="9"/>
        <v>91275.620025634766</v>
      </c>
      <c r="K66" s="33">
        <f t="shared" si="10"/>
        <v>49207.389997005463</v>
      </c>
      <c r="L66" s="19">
        <f t="shared" si="11"/>
        <v>1.7433274309541342</v>
      </c>
      <c r="M66" s="19">
        <f t="shared" si="12"/>
        <v>1.7433274309541342</v>
      </c>
      <c r="N66" s="33">
        <f t="shared" si="13"/>
        <v>85784.592787437694</v>
      </c>
      <c r="O66" s="33">
        <f t="shared" si="14"/>
        <v>94610.83139777185</v>
      </c>
      <c r="P66" s="35">
        <f t="shared" si="15"/>
        <v>0.46089229541047694</v>
      </c>
      <c r="Q66" s="35">
        <f t="shared" si="16"/>
        <v>6.0158750350366462E-2</v>
      </c>
      <c r="R66" s="35">
        <f t="shared" si="17"/>
        <v>3.6540002370845467E-2</v>
      </c>
      <c r="S66" s="35">
        <f t="shared" si="18"/>
        <v>-0.46089229541047694</v>
      </c>
      <c r="T66" s="35">
        <f t="shared" si="19"/>
        <v>-6.0158750350366441E-2</v>
      </c>
      <c r="U66" s="35">
        <f t="shared" si="20"/>
        <v>3.6540002370845537E-2</v>
      </c>
    </row>
    <row r="67" spans="1:21" x14ac:dyDescent="0.25">
      <c r="A67" s="26">
        <f t="shared" si="0"/>
        <v>8</v>
      </c>
      <c r="B67" s="26">
        <f t="shared" si="1"/>
        <v>3</v>
      </c>
      <c r="C67" s="26">
        <f t="shared" si="2"/>
        <v>32</v>
      </c>
      <c r="D67" s="26">
        <f t="shared" si="3"/>
        <v>0</v>
      </c>
      <c r="E67" s="26" t="str">
        <f t="shared" si="4"/>
        <v/>
      </c>
      <c r="F67" s="26">
        <f t="shared" si="5"/>
        <v>32</v>
      </c>
      <c r="G67" s="29">
        <f t="shared" si="6"/>
        <v>44440</v>
      </c>
      <c r="H67" s="26">
        <f t="shared" si="7"/>
        <v>35</v>
      </c>
      <c r="I67" s="29">
        <f t="shared" si="8"/>
        <v>44501</v>
      </c>
      <c r="J67" s="33">
        <f t="shared" si="9"/>
        <v>94327.220094442368</v>
      </c>
      <c r="K67" s="33">
        <f t="shared" si="10"/>
        <v>54805.390057325363</v>
      </c>
      <c r="L67" s="19">
        <f t="shared" si="11"/>
        <v>1.7433274309541342</v>
      </c>
      <c r="M67" s="19">
        <f t="shared" si="12"/>
        <v>1.7433274309541342</v>
      </c>
      <c r="N67" s="33">
        <f t="shared" si="13"/>
        <v>95543.739851076272</v>
      </c>
      <c r="O67" s="33">
        <f t="shared" si="14"/>
        <v>105161.9567935588</v>
      </c>
      <c r="P67" s="35">
        <f t="shared" si="15"/>
        <v>0.41898648128871951</v>
      </c>
      <c r="Q67" s="35">
        <f t="shared" si="16"/>
        <v>1.2896804924558362E-2</v>
      </c>
      <c r="R67" s="35">
        <f t="shared" si="17"/>
        <v>0.11486330974525134</v>
      </c>
      <c r="S67" s="35">
        <f t="shared" si="18"/>
        <v>-0.41898648128871951</v>
      </c>
      <c r="T67" s="35">
        <f t="shared" si="19"/>
        <v>1.2896804924558358E-2</v>
      </c>
      <c r="U67" s="35">
        <f t="shared" si="20"/>
        <v>0.11486330974525139</v>
      </c>
    </row>
    <row r="68" spans="1:21" x14ac:dyDescent="0.25">
      <c r="A68" s="26">
        <f t="shared" si="0"/>
        <v>8</v>
      </c>
      <c r="B68" s="26">
        <f t="shared" si="1"/>
        <v>4</v>
      </c>
      <c r="C68" s="26">
        <f t="shared" si="2"/>
        <v>32</v>
      </c>
      <c r="D68" s="26">
        <f t="shared" si="3"/>
        <v>0</v>
      </c>
      <c r="E68" s="26" t="str">
        <f t="shared" si="4"/>
        <v/>
      </c>
      <c r="F68" s="26">
        <f t="shared" si="5"/>
        <v>32</v>
      </c>
      <c r="G68" s="29">
        <f t="shared" si="6"/>
        <v>44440</v>
      </c>
      <c r="H68" s="26">
        <f t="shared" si="7"/>
        <v>36</v>
      </c>
      <c r="I68" s="29">
        <f t="shared" si="8"/>
        <v>44531</v>
      </c>
      <c r="J68" s="33">
        <f t="shared" si="9"/>
        <v>95950.710146665573</v>
      </c>
      <c r="K68" s="33">
        <f t="shared" si="10"/>
        <v>51901.930014848709</v>
      </c>
      <c r="L68" s="19">
        <f t="shared" si="11"/>
        <v>1.7433274309541342</v>
      </c>
      <c r="M68" s="19">
        <f t="shared" si="12"/>
        <v>1.7433274309541342</v>
      </c>
      <c r="N68" s="33">
        <f t="shared" si="13"/>
        <v>90482.058314347465</v>
      </c>
      <c r="O68" s="33">
        <f t="shared" si="14"/>
        <v>107160.6630963934</v>
      </c>
      <c r="P68" s="35">
        <f t="shared" si="15"/>
        <v>0.45907716643770585</v>
      </c>
      <c r="Q68" s="35">
        <f t="shared" si="16"/>
        <v>5.6994386221415075E-2</v>
      </c>
      <c r="R68" s="35">
        <f t="shared" si="17"/>
        <v>0.1168303281194359</v>
      </c>
      <c r="S68" s="35">
        <f t="shared" si="18"/>
        <v>-0.45907716643770591</v>
      </c>
      <c r="T68" s="35">
        <f t="shared" si="19"/>
        <v>-5.6994386221415061E-2</v>
      </c>
      <c r="U68" s="35">
        <f t="shared" si="20"/>
        <v>0.11683032811943583</v>
      </c>
    </row>
    <row r="69" spans="1:21" x14ac:dyDescent="0.25">
      <c r="A69" s="26">
        <f t="shared" si="0"/>
        <v>8</v>
      </c>
      <c r="B69" s="26">
        <f t="shared" si="1"/>
        <v>5</v>
      </c>
      <c r="C69" s="26">
        <f t="shared" si="2"/>
        <v>32</v>
      </c>
      <c r="D69" s="26">
        <f t="shared" si="3"/>
        <v>0</v>
      </c>
      <c r="E69" s="26" t="str">
        <f t="shared" si="4"/>
        <v/>
      </c>
      <c r="F69" s="26">
        <f t="shared" si="5"/>
        <v>32</v>
      </c>
      <c r="G69" s="29">
        <f t="shared" si="6"/>
        <v>44440</v>
      </c>
      <c r="H69" s="26">
        <f t="shared" si="7"/>
        <v>37</v>
      </c>
      <c r="I69" s="29">
        <f t="shared" si="8"/>
        <v>44562</v>
      </c>
      <c r="J69" s="33">
        <f t="shared" si="9"/>
        <v>113670.3201682568</v>
      </c>
      <c r="K69" s="33">
        <f t="shared" si="10"/>
        <v>61942.760003089898</v>
      </c>
      <c r="L69" s="19">
        <f t="shared" si="11"/>
        <v>1.7433274309541342</v>
      </c>
      <c r="M69" s="19">
        <f t="shared" si="12"/>
        <v>1.7433274309541342</v>
      </c>
      <c r="N69" s="33">
        <f t="shared" si="13"/>
        <v>107986.51266239521</v>
      </c>
      <c r="O69" s="33">
        <f t="shared" si="14"/>
        <v>126963.7541321527</v>
      </c>
      <c r="P69" s="35">
        <f t="shared" si="15"/>
        <v>0.45506654761417814</v>
      </c>
      <c r="Q69" s="35">
        <f t="shared" si="16"/>
        <v>5.0002564411258124E-2</v>
      </c>
      <c r="R69" s="35">
        <f t="shared" si="17"/>
        <v>0.1169472729927981</v>
      </c>
      <c r="S69" s="35">
        <f t="shared" si="18"/>
        <v>-0.45506654761417809</v>
      </c>
      <c r="T69" s="35">
        <f t="shared" si="19"/>
        <v>-5.0002564411258166E-2</v>
      </c>
      <c r="U69" s="35">
        <f t="shared" si="20"/>
        <v>0.11694727299279806</v>
      </c>
    </row>
    <row r="70" spans="1:21" x14ac:dyDescent="0.25">
      <c r="A70" s="26">
        <f t="shared" si="0"/>
        <v>8</v>
      </c>
      <c r="B70" s="26">
        <f t="shared" si="1"/>
        <v>6</v>
      </c>
      <c r="C70" s="26">
        <f t="shared" si="2"/>
        <v>32</v>
      </c>
      <c r="D70" s="26">
        <f t="shared" si="3"/>
        <v>0</v>
      </c>
      <c r="E70" s="26" t="str">
        <f t="shared" si="4"/>
        <v/>
      </c>
      <c r="F70" s="26">
        <f t="shared" si="5"/>
        <v>32</v>
      </c>
      <c r="G70" s="29">
        <f t="shared" si="6"/>
        <v>44440</v>
      </c>
      <c r="H70" s="26">
        <f t="shared" si="7"/>
        <v>38</v>
      </c>
      <c r="I70" s="29">
        <f t="shared" si="8"/>
        <v>44593</v>
      </c>
      <c r="J70" s="33">
        <f t="shared" si="9"/>
        <v>98015.390212059021</v>
      </c>
      <c r="K70" s="33">
        <f t="shared" si="10"/>
        <v>56663.070067644119</v>
      </c>
      <c r="L70" s="19">
        <f t="shared" si="11"/>
        <v>1.7433274309541342</v>
      </c>
      <c r="M70" s="19">
        <f t="shared" si="12"/>
        <v>1.7433274309541342</v>
      </c>
      <c r="N70" s="33">
        <f t="shared" si="13"/>
        <v>98782.284371000118</v>
      </c>
      <c r="O70" s="33">
        <f t="shared" si="14"/>
        <v>142722.2553692993</v>
      </c>
      <c r="P70" s="35">
        <f t="shared" si="15"/>
        <v>0.42189619461747802</v>
      </c>
      <c r="Q70" s="35">
        <f t="shared" si="16"/>
        <v>7.824221862320806E-3</v>
      </c>
      <c r="R70" s="35">
        <f t="shared" si="17"/>
        <v>0.45612087102357834</v>
      </c>
      <c r="S70" s="35">
        <f t="shared" si="18"/>
        <v>-0.42189619461747796</v>
      </c>
      <c r="T70" s="35">
        <f t="shared" si="19"/>
        <v>7.8242218623207904E-3</v>
      </c>
      <c r="U70" s="35">
        <f t="shared" si="20"/>
        <v>0.45612087102357823</v>
      </c>
    </row>
    <row r="71" spans="1:21" x14ac:dyDescent="0.25">
      <c r="A71" s="26">
        <f t="shared" si="0"/>
        <v>8</v>
      </c>
      <c r="B71" s="26">
        <f t="shared" si="1"/>
        <v>7</v>
      </c>
      <c r="C71" s="26">
        <f t="shared" si="2"/>
        <v>32</v>
      </c>
      <c r="D71" s="26">
        <f t="shared" si="3"/>
        <v>0</v>
      </c>
      <c r="E71" s="26" t="str">
        <f t="shared" si="4"/>
        <v/>
      </c>
      <c r="F71" s="26">
        <f t="shared" si="5"/>
        <v>32</v>
      </c>
      <c r="G71" s="29">
        <f t="shared" si="6"/>
        <v>44440</v>
      </c>
      <c r="H71" s="26">
        <f t="shared" si="7"/>
        <v>39</v>
      </c>
      <c r="I71" s="29">
        <f t="shared" si="8"/>
        <v>44621</v>
      </c>
      <c r="J71" s="33">
        <f t="shared" si="9"/>
        <v>119287.8302438259</v>
      </c>
      <c r="K71" s="33">
        <f t="shared" si="10"/>
        <v>60978.700088500977</v>
      </c>
      <c r="L71" s="19">
        <f t="shared" si="11"/>
        <v>1.7433274309541342</v>
      </c>
      <c r="M71" s="19">
        <f t="shared" si="12"/>
        <v>1.7433274309541342</v>
      </c>
      <c r="N71" s="33">
        <f t="shared" si="13"/>
        <v>106305.84056820904</v>
      </c>
      <c r="O71" s="33">
        <f t="shared" si="14"/>
        <v>238341.41804836979</v>
      </c>
      <c r="P71" s="35">
        <f t="shared" si="15"/>
        <v>0.48881038439663366</v>
      </c>
      <c r="Q71" s="35">
        <f t="shared" si="16"/>
        <v>0.10882912069975204</v>
      </c>
      <c r="R71" s="35">
        <f t="shared" si="17"/>
        <v>0.99803632576094969</v>
      </c>
      <c r="S71" s="35">
        <f t="shared" si="18"/>
        <v>-0.48881038439663371</v>
      </c>
      <c r="T71" s="35">
        <f t="shared" si="19"/>
        <v>-0.10882912069975204</v>
      </c>
      <c r="U71" s="35">
        <f t="shared" si="20"/>
        <v>0.99803632576094969</v>
      </c>
    </row>
    <row r="72" spans="1:21" x14ac:dyDescent="0.25">
      <c r="A72" s="37">
        <f t="shared" si="0"/>
        <v>8</v>
      </c>
      <c r="B72" s="37">
        <f t="shared" si="1"/>
        <v>8</v>
      </c>
      <c r="C72" s="37">
        <f t="shared" si="2"/>
        <v>32</v>
      </c>
      <c r="D72" s="37">
        <f t="shared" si="3"/>
        <v>0</v>
      </c>
      <c r="E72" s="37" t="str">
        <f t="shared" si="4"/>
        <v/>
      </c>
      <c r="F72" s="37">
        <f t="shared" si="5"/>
        <v>32</v>
      </c>
      <c r="G72" s="38">
        <f t="shared" si="6"/>
        <v>44440</v>
      </c>
      <c r="H72" s="37">
        <f t="shared" si="7"/>
        <v>40</v>
      </c>
      <c r="I72" s="38">
        <f t="shared" si="8"/>
        <v>44652</v>
      </c>
      <c r="J72" s="39">
        <f t="shared" si="9"/>
        <v>113637.6201777458</v>
      </c>
      <c r="K72" s="39">
        <f t="shared" si="10"/>
        <v>70861.690135478973</v>
      </c>
      <c r="L72" s="40">
        <f t="shared" si="11"/>
        <v>1.7433274309541342</v>
      </c>
      <c r="M72" s="40">
        <f t="shared" si="12"/>
        <v>1.7433274309541342</v>
      </c>
      <c r="N72" s="39">
        <f t="shared" si="13"/>
        <v>123535.12821695248</v>
      </c>
      <c r="O72" s="39">
        <f t="shared" si="14"/>
        <v>271379.90790242981</v>
      </c>
      <c r="P72" s="41">
        <f t="shared" si="15"/>
        <v>0.37642402203917191</v>
      </c>
      <c r="Q72" s="41">
        <f t="shared" si="16"/>
        <v>8.7097107663162324E-2</v>
      </c>
      <c r="R72" s="41">
        <f t="shared" si="17"/>
        <v>1.3881167827868277</v>
      </c>
      <c r="S72" s="41">
        <f t="shared" si="18"/>
        <v>-0.37642402203917191</v>
      </c>
      <c r="T72" s="41">
        <f t="shared" si="19"/>
        <v>8.7097107663162365E-2</v>
      </c>
      <c r="U72" s="41">
        <f t="shared" si="20"/>
        <v>1.3881167827868279</v>
      </c>
    </row>
    <row r="73" spans="1:21" x14ac:dyDescent="0.25">
      <c r="A73" s="26">
        <f t="shared" ref="A73:A136" si="21">INT((ROW()-ROW($A$9))/Horizon)+1</f>
        <v>9</v>
      </c>
      <c r="B73" s="26">
        <f t="shared" ref="B73:B136" si="22">MOD(ROW()-ROW($A$9),Horizon)+1</f>
        <v>1</v>
      </c>
      <c r="C73" s="26">
        <f t="shared" ref="C73:C136" si="23">(NMonths-MinTrain)-(A73-1)</f>
        <v>31</v>
      </c>
      <c r="D73" s="26">
        <f t="shared" ref="D73:D136" si="24">IF(C73&lt;=TestsUsed+Horizon-1,1,0)</f>
        <v>1</v>
      </c>
      <c r="E73" s="26">
        <f t="shared" ref="E73:E136" si="25">IF(D73=1,TestsUsed+Horizon-C73,"")</f>
        <v>1</v>
      </c>
      <c r="F73" s="26">
        <f t="shared" ref="F73:F136" si="26">NMonths-C73</f>
        <v>33</v>
      </c>
      <c r="G73" s="29">
        <f t="shared" ref="G73:G136" si="27">INDEX(Months,F73+1)</f>
        <v>44470</v>
      </c>
      <c r="H73" s="26">
        <f t="shared" ref="H73:H136" si="28">F73+B73</f>
        <v>34</v>
      </c>
      <c r="I73" s="29">
        <f t="shared" ref="I73:I136" si="29">INDEX(Months,H73)</f>
        <v>44470</v>
      </c>
      <c r="J73" s="33">
        <f t="shared" ref="J73:J136" si="30">INDEX(Sales,H73)</f>
        <v>91275.620025634766</v>
      </c>
      <c r="K73" s="33">
        <f t="shared" ref="K73:K136" si="31">INDEX(Sales,H73-Season)</f>
        <v>49207.389997005463</v>
      </c>
      <c r="L73" s="19">
        <f t="shared" ref="L73:L136" si="32">INDEX(Sales,F73)/INDEX(Sales,F73-Season)</f>
        <v>1.9939602345925489</v>
      </c>
      <c r="M73" s="19">
        <f t="shared" ref="M73:M136" si="33">MIN(MAX(L73,ClipLow),ClipHigh)</f>
        <v>1.9939602345925489</v>
      </c>
      <c r="N73" s="33">
        <f t="shared" ref="N73:N136" si="34">K73*M73</f>
        <v>98117.57890211606</v>
      </c>
      <c r="O73" s="33">
        <f t="shared" ref="O73:O136" si="35">INDEX(HWTable,MATCH(C73,HWOffsets,0),B73)</f>
        <v>100850.8072928995</v>
      </c>
      <c r="P73" s="35">
        <f t="shared" ref="P73:P136" si="36">ABS(K73-J73)/J73</f>
        <v>0.46089229541047694</v>
      </c>
      <c r="Q73" s="35">
        <f t="shared" ref="Q73:Q136" si="37">ABS(N73-J73)/J73</f>
        <v>7.4959325113975989E-2</v>
      </c>
      <c r="R73" s="35">
        <f t="shared" ref="R73:R136" si="38">ABS(O73-J73)/J73</f>
        <v>0.10490410543993607</v>
      </c>
      <c r="S73" s="35">
        <f t="shared" ref="S73:S136" si="39">K73/J73-1</f>
        <v>-0.46089229541047694</v>
      </c>
      <c r="T73" s="35">
        <f t="shared" ref="T73:T136" si="40">N73/J73-1</f>
        <v>7.4959325113975961E-2</v>
      </c>
      <c r="U73" s="35">
        <f t="shared" ref="U73:U136" si="41">O73/J73-1</f>
        <v>0.104904105439936</v>
      </c>
    </row>
    <row r="74" spans="1:21" x14ac:dyDescent="0.25">
      <c r="A74" s="26">
        <f t="shared" si="21"/>
        <v>9</v>
      </c>
      <c r="B74" s="26">
        <f t="shared" si="22"/>
        <v>2</v>
      </c>
      <c r="C74" s="26">
        <f t="shared" si="23"/>
        <v>31</v>
      </c>
      <c r="D74" s="26">
        <f t="shared" si="24"/>
        <v>1</v>
      </c>
      <c r="E74" s="26">
        <f t="shared" si="25"/>
        <v>1</v>
      </c>
      <c r="F74" s="26">
        <f t="shared" si="26"/>
        <v>33</v>
      </c>
      <c r="G74" s="29">
        <f t="shared" si="27"/>
        <v>44470</v>
      </c>
      <c r="H74" s="26">
        <f t="shared" si="28"/>
        <v>35</v>
      </c>
      <c r="I74" s="29">
        <f t="shared" si="29"/>
        <v>44501</v>
      </c>
      <c r="J74" s="33">
        <f t="shared" si="30"/>
        <v>94327.220094442368</v>
      </c>
      <c r="K74" s="33">
        <f t="shared" si="31"/>
        <v>54805.390057325363</v>
      </c>
      <c r="L74" s="19">
        <f t="shared" si="32"/>
        <v>1.9939602345925489</v>
      </c>
      <c r="M74" s="19">
        <f t="shared" si="33"/>
        <v>1.9939602345925489</v>
      </c>
      <c r="N74" s="33">
        <f t="shared" si="34"/>
        <v>109279.76841564063</v>
      </c>
      <c r="O74" s="33">
        <f t="shared" si="35"/>
        <v>112098.2718300305</v>
      </c>
      <c r="P74" s="35">
        <f t="shared" si="36"/>
        <v>0.41898648128871951</v>
      </c>
      <c r="Q74" s="35">
        <f t="shared" si="37"/>
        <v>0.15851785207098718</v>
      </c>
      <c r="R74" s="35">
        <f t="shared" si="38"/>
        <v>0.18839791650591828</v>
      </c>
      <c r="S74" s="35">
        <f t="shared" si="39"/>
        <v>-0.41898648128871951</v>
      </c>
      <c r="T74" s="35">
        <f t="shared" si="40"/>
        <v>0.15851785207098712</v>
      </c>
      <c r="U74" s="35">
        <f t="shared" si="41"/>
        <v>0.18839791650591819</v>
      </c>
    </row>
    <row r="75" spans="1:21" x14ac:dyDescent="0.25">
      <c r="A75" s="26">
        <f t="shared" si="21"/>
        <v>9</v>
      </c>
      <c r="B75" s="26">
        <f t="shared" si="22"/>
        <v>3</v>
      </c>
      <c r="C75" s="26">
        <f t="shared" si="23"/>
        <v>31</v>
      </c>
      <c r="D75" s="26">
        <f t="shared" si="24"/>
        <v>1</v>
      </c>
      <c r="E75" s="26">
        <f t="shared" si="25"/>
        <v>1</v>
      </c>
      <c r="F75" s="26">
        <f t="shared" si="26"/>
        <v>33</v>
      </c>
      <c r="G75" s="29">
        <f t="shared" si="27"/>
        <v>44470</v>
      </c>
      <c r="H75" s="26">
        <f t="shared" si="28"/>
        <v>36</v>
      </c>
      <c r="I75" s="29">
        <f t="shared" si="29"/>
        <v>44531</v>
      </c>
      <c r="J75" s="33">
        <f t="shared" si="30"/>
        <v>95950.710146665573</v>
      </c>
      <c r="K75" s="33">
        <f t="shared" si="31"/>
        <v>51901.930014848709</v>
      </c>
      <c r="L75" s="19">
        <f t="shared" si="32"/>
        <v>1.9939602345925489</v>
      </c>
      <c r="M75" s="19">
        <f t="shared" si="33"/>
        <v>1.9939602345925489</v>
      </c>
      <c r="N75" s="33">
        <f t="shared" si="34"/>
        <v>103490.38454821378</v>
      </c>
      <c r="O75" s="33">
        <f t="shared" si="35"/>
        <v>114229.43612881959</v>
      </c>
      <c r="P75" s="35">
        <f t="shared" si="36"/>
        <v>0.45907716643770585</v>
      </c>
      <c r="Q75" s="35">
        <f t="shared" si="37"/>
        <v>7.8578620106338273E-2</v>
      </c>
      <c r="R75" s="35">
        <f t="shared" si="38"/>
        <v>0.1905012058192592</v>
      </c>
      <c r="S75" s="35">
        <f t="shared" si="39"/>
        <v>-0.45907716643770591</v>
      </c>
      <c r="T75" s="35">
        <f t="shared" si="40"/>
        <v>7.8578620106338315E-2</v>
      </c>
      <c r="U75" s="35">
        <f t="shared" si="41"/>
        <v>0.19050120581925922</v>
      </c>
    </row>
    <row r="76" spans="1:21" x14ac:dyDescent="0.25">
      <c r="A76" s="26">
        <f t="shared" si="21"/>
        <v>9</v>
      </c>
      <c r="B76" s="26">
        <f t="shared" si="22"/>
        <v>4</v>
      </c>
      <c r="C76" s="26">
        <f t="shared" si="23"/>
        <v>31</v>
      </c>
      <c r="D76" s="26">
        <f t="shared" si="24"/>
        <v>1</v>
      </c>
      <c r="E76" s="26">
        <f t="shared" si="25"/>
        <v>1</v>
      </c>
      <c r="F76" s="26">
        <f t="shared" si="26"/>
        <v>33</v>
      </c>
      <c r="G76" s="29">
        <f t="shared" si="27"/>
        <v>44470</v>
      </c>
      <c r="H76" s="26">
        <f t="shared" si="28"/>
        <v>37</v>
      </c>
      <c r="I76" s="29">
        <f t="shared" si="29"/>
        <v>44562</v>
      </c>
      <c r="J76" s="33">
        <f t="shared" si="30"/>
        <v>113670.3201682568</v>
      </c>
      <c r="K76" s="33">
        <f t="shared" si="31"/>
        <v>61942.760003089898</v>
      </c>
      <c r="L76" s="19">
        <f t="shared" si="32"/>
        <v>1.9939602345925489</v>
      </c>
      <c r="M76" s="19">
        <f t="shared" si="33"/>
        <v>1.9939602345925489</v>
      </c>
      <c r="N76" s="33">
        <f t="shared" si="34"/>
        <v>123511.40026707109</v>
      </c>
      <c r="O76" s="33">
        <f t="shared" si="35"/>
        <v>135339.7108516322</v>
      </c>
      <c r="P76" s="35">
        <f t="shared" si="36"/>
        <v>0.45506654761417814</v>
      </c>
      <c r="Q76" s="35">
        <f t="shared" si="37"/>
        <v>8.6575634556561004E-2</v>
      </c>
      <c r="R76" s="35">
        <f t="shared" si="38"/>
        <v>0.19063367333970721</v>
      </c>
      <c r="S76" s="35">
        <f t="shared" si="39"/>
        <v>-0.45506654761417809</v>
      </c>
      <c r="T76" s="35">
        <f t="shared" si="40"/>
        <v>8.6575634556560921E-2</v>
      </c>
      <c r="U76" s="35">
        <f t="shared" si="41"/>
        <v>0.19063367333970715</v>
      </c>
    </row>
    <row r="77" spans="1:21" x14ac:dyDescent="0.25">
      <c r="A77" s="26">
        <f t="shared" si="21"/>
        <v>9</v>
      </c>
      <c r="B77" s="26">
        <f t="shared" si="22"/>
        <v>5</v>
      </c>
      <c r="C77" s="26">
        <f t="shared" si="23"/>
        <v>31</v>
      </c>
      <c r="D77" s="26">
        <f t="shared" si="24"/>
        <v>1</v>
      </c>
      <c r="E77" s="26">
        <f t="shared" si="25"/>
        <v>1</v>
      </c>
      <c r="F77" s="26">
        <f t="shared" si="26"/>
        <v>33</v>
      </c>
      <c r="G77" s="29">
        <f t="shared" si="27"/>
        <v>44470</v>
      </c>
      <c r="H77" s="26">
        <f t="shared" si="28"/>
        <v>38</v>
      </c>
      <c r="I77" s="29">
        <f t="shared" si="29"/>
        <v>44593</v>
      </c>
      <c r="J77" s="33">
        <f t="shared" si="30"/>
        <v>98015.390212059021</v>
      </c>
      <c r="K77" s="33">
        <f t="shared" si="31"/>
        <v>56663.070067644119</v>
      </c>
      <c r="L77" s="19">
        <f t="shared" si="32"/>
        <v>1.9939602345925489</v>
      </c>
      <c r="M77" s="19">
        <f t="shared" si="33"/>
        <v>1.9939602345925489</v>
      </c>
      <c r="N77" s="33">
        <f t="shared" si="34"/>
        <v>112983.9084848137</v>
      </c>
      <c r="O77" s="33">
        <f t="shared" si="35"/>
        <v>152137.4252530435</v>
      </c>
      <c r="P77" s="35">
        <f t="shared" si="36"/>
        <v>0.42189619461747802</v>
      </c>
      <c r="Q77" s="35">
        <f t="shared" si="37"/>
        <v>0.15271599939937874</v>
      </c>
      <c r="R77" s="35">
        <f t="shared" si="38"/>
        <v>0.55217894785594335</v>
      </c>
      <c r="S77" s="35">
        <f t="shared" si="39"/>
        <v>-0.42189619461747796</v>
      </c>
      <c r="T77" s="35">
        <f t="shared" si="40"/>
        <v>0.15271599939937874</v>
      </c>
      <c r="U77" s="35">
        <f t="shared" si="41"/>
        <v>0.55217894785594335</v>
      </c>
    </row>
    <row r="78" spans="1:21" x14ac:dyDescent="0.25">
      <c r="A78" s="26">
        <f t="shared" si="21"/>
        <v>9</v>
      </c>
      <c r="B78" s="26">
        <f t="shared" si="22"/>
        <v>6</v>
      </c>
      <c r="C78" s="26">
        <f t="shared" si="23"/>
        <v>31</v>
      </c>
      <c r="D78" s="26">
        <f t="shared" si="24"/>
        <v>1</v>
      </c>
      <c r="E78" s="26">
        <f t="shared" si="25"/>
        <v>1</v>
      </c>
      <c r="F78" s="26">
        <f t="shared" si="26"/>
        <v>33</v>
      </c>
      <c r="G78" s="29">
        <f t="shared" si="27"/>
        <v>44470</v>
      </c>
      <c r="H78" s="26">
        <f t="shared" si="28"/>
        <v>39</v>
      </c>
      <c r="I78" s="29">
        <f t="shared" si="29"/>
        <v>44621</v>
      </c>
      <c r="J78" s="33">
        <f t="shared" si="30"/>
        <v>119287.8302438259</v>
      </c>
      <c r="K78" s="33">
        <f t="shared" si="31"/>
        <v>60978.700088500977</v>
      </c>
      <c r="L78" s="19">
        <f t="shared" si="32"/>
        <v>1.9939602345925489</v>
      </c>
      <c r="M78" s="19">
        <f t="shared" si="33"/>
        <v>1.9939602345925489</v>
      </c>
      <c r="N78" s="33">
        <f t="shared" si="34"/>
        <v>121589.1031336161</v>
      </c>
      <c r="O78" s="33">
        <f t="shared" si="35"/>
        <v>254064.57993652791</v>
      </c>
      <c r="P78" s="35">
        <f t="shared" si="36"/>
        <v>0.48881038439663366</v>
      </c>
      <c r="Q78" s="35">
        <f t="shared" si="37"/>
        <v>1.9291765849763266E-2</v>
      </c>
      <c r="R78" s="35">
        <f t="shared" si="38"/>
        <v>1.1298449256493019</v>
      </c>
      <c r="S78" s="35">
        <f t="shared" si="39"/>
        <v>-0.48881038439663371</v>
      </c>
      <c r="T78" s="35">
        <f t="shared" si="40"/>
        <v>1.9291765849763332E-2</v>
      </c>
      <c r="U78" s="35">
        <f t="shared" si="41"/>
        <v>1.1298449256493019</v>
      </c>
    </row>
    <row r="79" spans="1:21" x14ac:dyDescent="0.25">
      <c r="A79" s="26">
        <f t="shared" si="21"/>
        <v>9</v>
      </c>
      <c r="B79" s="26">
        <f t="shared" si="22"/>
        <v>7</v>
      </c>
      <c r="C79" s="26">
        <f t="shared" si="23"/>
        <v>31</v>
      </c>
      <c r="D79" s="26">
        <f t="shared" si="24"/>
        <v>1</v>
      </c>
      <c r="E79" s="26">
        <f t="shared" si="25"/>
        <v>1</v>
      </c>
      <c r="F79" s="26">
        <f t="shared" si="26"/>
        <v>33</v>
      </c>
      <c r="G79" s="29">
        <f t="shared" si="27"/>
        <v>44470</v>
      </c>
      <c r="H79" s="26">
        <f t="shared" si="28"/>
        <v>40</v>
      </c>
      <c r="I79" s="29">
        <f t="shared" si="29"/>
        <v>44652</v>
      </c>
      <c r="J79" s="33">
        <f t="shared" si="30"/>
        <v>113637.6201777458</v>
      </c>
      <c r="K79" s="33">
        <f t="shared" si="31"/>
        <v>70861.690135478973</v>
      </c>
      <c r="L79" s="19">
        <f t="shared" si="32"/>
        <v>1.9939602345925489</v>
      </c>
      <c r="M79" s="19">
        <f t="shared" si="33"/>
        <v>1.9939602345925489</v>
      </c>
      <c r="N79" s="33">
        <f t="shared" si="34"/>
        <v>141295.39228616416</v>
      </c>
      <c r="O79" s="33">
        <f t="shared" si="35"/>
        <v>289281.73629426432</v>
      </c>
      <c r="P79" s="35">
        <f t="shared" si="36"/>
        <v>0.37642402203917191</v>
      </c>
      <c r="Q79" s="35">
        <f t="shared" si="37"/>
        <v>0.24338570330105092</v>
      </c>
      <c r="R79" s="35">
        <f t="shared" si="38"/>
        <v>1.5456511306888114</v>
      </c>
      <c r="S79" s="35">
        <f t="shared" si="39"/>
        <v>-0.37642402203917191</v>
      </c>
      <c r="T79" s="35">
        <f t="shared" si="40"/>
        <v>0.24338570330105092</v>
      </c>
      <c r="U79" s="35">
        <f t="shared" si="41"/>
        <v>1.5456511306888117</v>
      </c>
    </row>
    <row r="80" spans="1:21" x14ac:dyDescent="0.25">
      <c r="A80" s="37">
        <f t="shared" si="21"/>
        <v>9</v>
      </c>
      <c r="B80" s="37">
        <f t="shared" si="22"/>
        <v>8</v>
      </c>
      <c r="C80" s="37">
        <f t="shared" si="23"/>
        <v>31</v>
      </c>
      <c r="D80" s="37">
        <f t="shared" si="24"/>
        <v>1</v>
      </c>
      <c r="E80" s="37">
        <f t="shared" si="25"/>
        <v>1</v>
      </c>
      <c r="F80" s="37">
        <f t="shared" si="26"/>
        <v>33</v>
      </c>
      <c r="G80" s="38">
        <f t="shared" si="27"/>
        <v>44470</v>
      </c>
      <c r="H80" s="37">
        <f t="shared" si="28"/>
        <v>41</v>
      </c>
      <c r="I80" s="38">
        <f t="shared" si="29"/>
        <v>44682</v>
      </c>
      <c r="J80" s="39">
        <f t="shared" si="30"/>
        <v>119652.1701276302</v>
      </c>
      <c r="K80" s="39">
        <f t="shared" si="31"/>
        <v>74001.790117025375</v>
      </c>
      <c r="L80" s="40">
        <f t="shared" si="32"/>
        <v>1.9939602345925489</v>
      </c>
      <c r="M80" s="40">
        <f t="shared" si="33"/>
        <v>1.9939602345925489</v>
      </c>
      <c r="N80" s="39">
        <f t="shared" si="34"/>
        <v>147556.62678201249</v>
      </c>
      <c r="O80" s="39">
        <f t="shared" si="35"/>
        <v>314762.11004363297</v>
      </c>
      <c r="P80" s="41">
        <f t="shared" si="36"/>
        <v>0.38152571710074812</v>
      </c>
      <c r="Q80" s="41">
        <f t="shared" si="37"/>
        <v>0.23321312621925075</v>
      </c>
      <c r="R80" s="41">
        <f t="shared" si="38"/>
        <v>1.6306427180374874</v>
      </c>
      <c r="S80" s="41">
        <f t="shared" si="39"/>
        <v>-0.38152571710074812</v>
      </c>
      <c r="T80" s="41">
        <f t="shared" si="40"/>
        <v>0.23321312621925072</v>
      </c>
      <c r="U80" s="41">
        <f t="shared" si="41"/>
        <v>1.6306427180374872</v>
      </c>
    </row>
    <row r="81" spans="1:21" x14ac:dyDescent="0.25">
      <c r="A81" s="26">
        <f t="shared" si="21"/>
        <v>10</v>
      </c>
      <c r="B81" s="26">
        <f t="shared" si="22"/>
        <v>1</v>
      </c>
      <c r="C81" s="26">
        <f t="shared" si="23"/>
        <v>30</v>
      </c>
      <c r="D81" s="26">
        <f t="shared" si="24"/>
        <v>1</v>
      </c>
      <c r="E81" s="26">
        <f t="shared" si="25"/>
        <v>2</v>
      </c>
      <c r="F81" s="26">
        <f t="shared" si="26"/>
        <v>34</v>
      </c>
      <c r="G81" s="29">
        <f t="shared" si="27"/>
        <v>44501</v>
      </c>
      <c r="H81" s="26">
        <f t="shared" si="28"/>
        <v>35</v>
      </c>
      <c r="I81" s="29">
        <f t="shared" si="29"/>
        <v>44501</v>
      </c>
      <c r="J81" s="33">
        <f t="shared" si="30"/>
        <v>94327.220094442368</v>
      </c>
      <c r="K81" s="33">
        <f t="shared" si="31"/>
        <v>54805.390057325363</v>
      </c>
      <c r="L81" s="19">
        <f t="shared" si="32"/>
        <v>1.8549169145364017</v>
      </c>
      <c r="M81" s="19">
        <f t="shared" si="33"/>
        <v>1.8549169145364017</v>
      </c>
      <c r="N81" s="33">
        <f t="shared" si="34"/>
        <v>101659.44502509796</v>
      </c>
      <c r="O81" s="33">
        <f t="shared" si="35"/>
        <v>101454.59204096709</v>
      </c>
      <c r="P81" s="35">
        <f t="shared" si="36"/>
        <v>0.41898648128871951</v>
      </c>
      <c r="Q81" s="35">
        <f t="shared" si="37"/>
        <v>7.7731803431866364E-2</v>
      </c>
      <c r="R81" s="35">
        <f t="shared" si="38"/>
        <v>7.556007628962938E-2</v>
      </c>
      <c r="S81" s="35">
        <f t="shared" si="39"/>
        <v>-0.41898648128871951</v>
      </c>
      <c r="T81" s="35">
        <f t="shared" si="40"/>
        <v>7.7731803431866364E-2</v>
      </c>
      <c r="U81" s="35">
        <f t="shared" si="41"/>
        <v>7.5560076289629352E-2</v>
      </c>
    </row>
    <row r="82" spans="1:21" x14ac:dyDescent="0.25">
      <c r="A82" s="26">
        <f t="shared" si="21"/>
        <v>10</v>
      </c>
      <c r="B82" s="26">
        <f t="shared" si="22"/>
        <v>2</v>
      </c>
      <c r="C82" s="26">
        <f t="shared" si="23"/>
        <v>30</v>
      </c>
      <c r="D82" s="26">
        <f t="shared" si="24"/>
        <v>1</v>
      </c>
      <c r="E82" s="26">
        <f t="shared" si="25"/>
        <v>2</v>
      </c>
      <c r="F82" s="26">
        <f t="shared" si="26"/>
        <v>34</v>
      </c>
      <c r="G82" s="29">
        <f t="shared" si="27"/>
        <v>44501</v>
      </c>
      <c r="H82" s="26">
        <f t="shared" si="28"/>
        <v>36</v>
      </c>
      <c r="I82" s="29">
        <f t="shared" si="29"/>
        <v>44531</v>
      </c>
      <c r="J82" s="33">
        <f t="shared" si="30"/>
        <v>95950.710146665573</v>
      </c>
      <c r="K82" s="33">
        <f t="shared" si="31"/>
        <v>51901.930014848709</v>
      </c>
      <c r="L82" s="19">
        <f t="shared" si="32"/>
        <v>1.8549169145364017</v>
      </c>
      <c r="M82" s="19">
        <f t="shared" si="33"/>
        <v>1.8549169145364017</v>
      </c>
      <c r="N82" s="33">
        <f t="shared" si="34"/>
        <v>96273.767881627427</v>
      </c>
      <c r="O82" s="33">
        <f t="shared" si="35"/>
        <v>103383.4836744379</v>
      </c>
      <c r="P82" s="35">
        <f t="shared" si="36"/>
        <v>0.45907716643770585</v>
      </c>
      <c r="Q82" s="35">
        <f t="shared" si="37"/>
        <v>3.3669134336582187E-3</v>
      </c>
      <c r="R82" s="35">
        <f t="shared" si="38"/>
        <v>7.7464497307116867E-2</v>
      </c>
      <c r="S82" s="35">
        <f t="shared" si="39"/>
        <v>-0.45907716643770591</v>
      </c>
      <c r="T82" s="35">
        <f t="shared" si="40"/>
        <v>3.3669134336582474E-3</v>
      </c>
      <c r="U82" s="35">
        <f t="shared" si="41"/>
        <v>7.7464497307116797E-2</v>
      </c>
    </row>
    <row r="83" spans="1:21" x14ac:dyDescent="0.25">
      <c r="A83" s="26">
        <f t="shared" si="21"/>
        <v>10</v>
      </c>
      <c r="B83" s="26">
        <f t="shared" si="22"/>
        <v>3</v>
      </c>
      <c r="C83" s="26">
        <f t="shared" si="23"/>
        <v>30</v>
      </c>
      <c r="D83" s="26">
        <f t="shared" si="24"/>
        <v>1</v>
      </c>
      <c r="E83" s="26">
        <f t="shared" si="25"/>
        <v>2</v>
      </c>
      <c r="F83" s="26">
        <f t="shared" si="26"/>
        <v>34</v>
      </c>
      <c r="G83" s="29">
        <f t="shared" si="27"/>
        <v>44501</v>
      </c>
      <c r="H83" s="26">
        <f t="shared" si="28"/>
        <v>37</v>
      </c>
      <c r="I83" s="29">
        <f t="shared" si="29"/>
        <v>44562</v>
      </c>
      <c r="J83" s="33">
        <f t="shared" si="30"/>
        <v>113670.3201682568</v>
      </c>
      <c r="K83" s="33">
        <f t="shared" si="31"/>
        <v>61942.760003089898</v>
      </c>
      <c r="L83" s="19">
        <f t="shared" si="32"/>
        <v>1.8549169145364017</v>
      </c>
      <c r="M83" s="19">
        <f t="shared" si="33"/>
        <v>1.8549169145364017</v>
      </c>
      <c r="N83" s="33">
        <f t="shared" si="34"/>
        <v>114898.67326280035</v>
      </c>
      <c r="O83" s="33">
        <f t="shared" si="35"/>
        <v>122489.86425622681</v>
      </c>
      <c r="P83" s="35">
        <f t="shared" si="36"/>
        <v>0.45506654761417814</v>
      </c>
      <c r="Q83" s="35">
        <f t="shared" si="37"/>
        <v>1.0806278127177955E-2</v>
      </c>
      <c r="R83" s="35">
        <f t="shared" si="38"/>
        <v>7.7588803083471214E-2</v>
      </c>
      <c r="S83" s="35">
        <f t="shared" si="39"/>
        <v>-0.45506654761417809</v>
      </c>
      <c r="T83" s="35">
        <f t="shared" si="40"/>
        <v>1.0806278127178048E-2</v>
      </c>
      <c r="U83" s="35">
        <f t="shared" si="41"/>
        <v>7.7588803083471269E-2</v>
      </c>
    </row>
    <row r="84" spans="1:21" x14ac:dyDescent="0.25">
      <c r="A84" s="26">
        <f t="shared" si="21"/>
        <v>10</v>
      </c>
      <c r="B84" s="26">
        <f t="shared" si="22"/>
        <v>4</v>
      </c>
      <c r="C84" s="26">
        <f t="shared" si="23"/>
        <v>30</v>
      </c>
      <c r="D84" s="26">
        <f t="shared" si="24"/>
        <v>1</v>
      </c>
      <c r="E84" s="26">
        <f t="shared" si="25"/>
        <v>2</v>
      </c>
      <c r="F84" s="26">
        <f t="shared" si="26"/>
        <v>34</v>
      </c>
      <c r="G84" s="29">
        <f t="shared" si="27"/>
        <v>44501</v>
      </c>
      <c r="H84" s="26">
        <f t="shared" si="28"/>
        <v>38</v>
      </c>
      <c r="I84" s="29">
        <f t="shared" si="29"/>
        <v>44593</v>
      </c>
      <c r="J84" s="33">
        <f t="shared" si="30"/>
        <v>98015.390212059021</v>
      </c>
      <c r="K84" s="33">
        <f t="shared" si="31"/>
        <v>56663.070067644119</v>
      </c>
      <c r="L84" s="19">
        <f t="shared" si="32"/>
        <v>1.8549169145364017</v>
      </c>
      <c r="M84" s="19">
        <f t="shared" si="33"/>
        <v>1.8549169145364017</v>
      </c>
      <c r="N84" s="33">
        <f t="shared" si="34"/>
        <v>105105.28709803437</v>
      </c>
      <c r="O84" s="33">
        <f t="shared" si="35"/>
        <v>137693.06644389991</v>
      </c>
      <c r="P84" s="35">
        <f t="shared" si="36"/>
        <v>0.42189619461747802</v>
      </c>
      <c r="Q84" s="35">
        <f t="shared" si="37"/>
        <v>7.2334526961900195E-2</v>
      </c>
      <c r="R84" s="35">
        <f t="shared" si="38"/>
        <v>0.40481067458893072</v>
      </c>
      <c r="S84" s="35">
        <f t="shared" si="39"/>
        <v>-0.42189619461747796</v>
      </c>
      <c r="T84" s="35">
        <f t="shared" si="40"/>
        <v>7.2334526961900236E-2</v>
      </c>
      <c r="U84" s="35">
        <f t="shared" si="41"/>
        <v>0.40481067458893061</v>
      </c>
    </row>
    <row r="85" spans="1:21" x14ac:dyDescent="0.25">
      <c r="A85" s="26">
        <f t="shared" si="21"/>
        <v>10</v>
      </c>
      <c r="B85" s="26">
        <f t="shared" si="22"/>
        <v>5</v>
      </c>
      <c r="C85" s="26">
        <f t="shared" si="23"/>
        <v>30</v>
      </c>
      <c r="D85" s="26">
        <f t="shared" si="24"/>
        <v>1</v>
      </c>
      <c r="E85" s="26">
        <f t="shared" si="25"/>
        <v>2</v>
      </c>
      <c r="F85" s="26">
        <f t="shared" si="26"/>
        <v>34</v>
      </c>
      <c r="G85" s="29">
        <f t="shared" si="27"/>
        <v>44501</v>
      </c>
      <c r="H85" s="26">
        <f t="shared" si="28"/>
        <v>39</v>
      </c>
      <c r="I85" s="29">
        <f t="shared" si="29"/>
        <v>44621</v>
      </c>
      <c r="J85" s="33">
        <f t="shared" si="30"/>
        <v>119287.8302438259</v>
      </c>
      <c r="K85" s="33">
        <f t="shared" si="31"/>
        <v>60978.700088500977</v>
      </c>
      <c r="L85" s="19">
        <f t="shared" si="32"/>
        <v>1.8549169145364017</v>
      </c>
      <c r="M85" s="19">
        <f t="shared" si="33"/>
        <v>1.8549169145364017</v>
      </c>
      <c r="N85" s="33">
        <f t="shared" si="34"/>
        <v>113110.42222060284</v>
      </c>
      <c r="O85" s="33">
        <f t="shared" si="35"/>
        <v>229942.46878874849</v>
      </c>
      <c r="P85" s="35">
        <f t="shared" si="36"/>
        <v>0.48881038439663366</v>
      </c>
      <c r="Q85" s="35">
        <f t="shared" si="37"/>
        <v>5.1785735481954524E-2</v>
      </c>
      <c r="R85" s="35">
        <f t="shared" si="38"/>
        <v>0.92762722164317224</v>
      </c>
      <c r="S85" s="35">
        <f t="shared" si="39"/>
        <v>-0.48881038439663371</v>
      </c>
      <c r="T85" s="35">
        <f t="shared" si="40"/>
        <v>-5.1785735481954531E-2</v>
      </c>
      <c r="U85" s="35">
        <f t="shared" si="41"/>
        <v>0.92762722164317224</v>
      </c>
    </row>
    <row r="86" spans="1:21" x14ac:dyDescent="0.25">
      <c r="A86" s="26">
        <f t="shared" si="21"/>
        <v>10</v>
      </c>
      <c r="B86" s="26">
        <f t="shared" si="22"/>
        <v>6</v>
      </c>
      <c r="C86" s="26">
        <f t="shared" si="23"/>
        <v>30</v>
      </c>
      <c r="D86" s="26">
        <f t="shared" si="24"/>
        <v>1</v>
      </c>
      <c r="E86" s="26">
        <f t="shared" si="25"/>
        <v>2</v>
      </c>
      <c r="F86" s="26">
        <f t="shared" si="26"/>
        <v>34</v>
      </c>
      <c r="G86" s="29">
        <f t="shared" si="27"/>
        <v>44501</v>
      </c>
      <c r="H86" s="26">
        <f t="shared" si="28"/>
        <v>40</v>
      </c>
      <c r="I86" s="29">
        <f t="shared" si="29"/>
        <v>44652</v>
      </c>
      <c r="J86" s="33">
        <f t="shared" si="30"/>
        <v>113637.6201777458</v>
      </c>
      <c r="K86" s="33">
        <f t="shared" si="31"/>
        <v>70861.690135478973</v>
      </c>
      <c r="L86" s="19">
        <f t="shared" si="32"/>
        <v>1.8549169145364017</v>
      </c>
      <c r="M86" s="19">
        <f t="shared" si="33"/>
        <v>1.8549169145364017</v>
      </c>
      <c r="N86" s="33">
        <f t="shared" si="34"/>
        <v>131442.54762493723</v>
      </c>
      <c r="O86" s="33">
        <f t="shared" si="35"/>
        <v>261815.87863982041</v>
      </c>
      <c r="P86" s="35">
        <f t="shared" si="36"/>
        <v>0.37642402203917191</v>
      </c>
      <c r="Q86" s="35">
        <f t="shared" si="37"/>
        <v>0.1566816290181185</v>
      </c>
      <c r="R86" s="35">
        <f t="shared" si="38"/>
        <v>1.3039542559084063</v>
      </c>
      <c r="S86" s="35">
        <f t="shared" si="39"/>
        <v>-0.37642402203917191</v>
      </c>
      <c r="T86" s="35">
        <f t="shared" si="40"/>
        <v>0.15668162901811855</v>
      </c>
      <c r="U86" s="35">
        <f t="shared" si="41"/>
        <v>1.3039542559084061</v>
      </c>
    </row>
    <row r="87" spans="1:21" x14ac:dyDescent="0.25">
      <c r="A87" s="26">
        <f t="shared" si="21"/>
        <v>10</v>
      </c>
      <c r="B87" s="26">
        <f t="shared" si="22"/>
        <v>7</v>
      </c>
      <c r="C87" s="26">
        <f t="shared" si="23"/>
        <v>30</v>
      </c>
      <c r="D87" s="26">
        <f t="shared" si="24"/>
        <v>1</v>
      </c>
      <c r="E87" s="26">
        <f t="shared" si="25"/>
        <v>2</v>
      </c>
      <c r="F87" s="26">
        <f t="shared" si="26"/>
        <v>34</v>
      </c>
      <c r="G87" s="29">
        <f t="shared" si="27"/>
        <v>44501</v>
      </c>
      <c r="H87" s="26">
        <f t="shared" si="28"/>
        <v>41</v>
      </c>
      <c r="I87" s="29">
        <f t="shared" si="29"/>
        <v>44682</v>
      </c>
      <c r="J87" s="33">
        <f t="shared" si="30"/>
        <v>119652.1701276302</v>
      </c>
      <c r="K87" s="33">
        <f t="shared" si="31"/>
        <v>74001.790117025375</v>
      </c>
      <c r="L87" s="19">
        <f t="shared" si="32"/>
        <v>1.8549169145364017</v>
      </c>
      <c r="M87" s="19">
        <f t="shared" si="33"/>
        <v>1.8549169145364017</v>
      </c>
      <c r="N87" s="33">
        <f t="shared" si="34"/>
        <v>137267.17219404309</v>
      </c>
      <c r="O87" s="33">
        <f t="shared" si="35"/>
        <v>284876.65982144052</v>
      </c>
      <c r="P87" s="35">
        <f t="shared" si="36"/>
        <v>0.38152571710074812</v>
      </c>
      <c r="Q87" s="35">
        <f t="shared" si="37"/>
        <v>0.14721840855559382</v>
      </c>
      <c r="R87" s="35">
        <f t="shared" si="38"/>
        <v>1.380873322377431</v>
      </c>
      <c r="S87" s="35">
        <f t="shared" si="39"/>
        <v>-0.38152571710074812</v>
      </c>
      <c r="T87" s="35">
        <f t="shared" si="40"/>
        <v>0.14721840855559387</v>
      </c>
      <c r="U87" s="35">
        <f t="shared" si="41"/>
        <v>1.3808733223774308</v>
      </c>
    </row>
    <row r="88" spans="1:21" x14ac:dyDescent="0.25">
      <c r="A88" s="37">
        <f t="shared" si="21"/>
        <v>10</v>
      </c>
      <c r="B88" s="37">
        <f t="shared" si="22"/>
        <v>8</v>
      </c>
      <c r="C88" s="37">
        <f t="shared" si="23"/>
        <v>30</v>
      </c>
      <c r="D88" s="37">
        <f t="shared" si="24"/>
        <v>1</v>
      </c>
      <c r="E88" s="37">
        <f t="shared" si="25"/>
        <v>2</v>
      </c>
      <c r="F88" s="37">
        <f t="shared" si="26"/>
        <v>34</v>
      </c>
      <c r="G88" s="38">
        <f t="shared" si="27"/>
        <v>44501</v>
      </c>
      <c r="H88" s="37">
        <f t="shared" si="28"/>
        <v>42</v>
      </c>
      <c r="I88" s="38">
        <f t="shared" si="29"/>
        <v>44713</v>
      </c>
      <c r="J88" s="39">
        <f t="shared" si="30"/>
        <v>133353.570147872</v>
      </c>
      <c r="K88" s="39">
        <f t="shared" si="31"/>
        <v>74855.450057983398</v>
      </c>
      <c r="L88" s="40">
        <f t="shared" si="32"/>
        <v>1.8549169145364017</v>
      </c>
      <c r="M88" s="40">
        <f t="shared" si="33"/>
        <v>1.8549169145364017</v>
      </c>
      <c r="N88" s="39">
        <f t="shared" si="34"/>
        <v>138850.64045778828</v>
      </c>
      <c r="O88" s="39">
        <f t="shared" si="35"/>
        <v>307392.4482679505</v>
      </c>
      <c r="P88" s="41">
        <f t="shared" si="36"/>
        <v>0.43866932115144491</v>
      </c>
      <c r="Q88" s="41">
        <f t="shared" si="37"/>
        <v>4.1221770844385587E-2</v>
      </c>
      <c r="R88" s="41">
        <f t="shared" si="38"/>
        <v>1.3050935038866354</v>
      </c>
      <c r="S88" s="41">
        <f t="shared" si="39"/>
        <v>-0.43866932115144497</v>
      </c>
      <c r="T88" s="41">
        <f t="shared" si="40"/>
        <v>4.1221770844385608E-2</v>
      </c>
      <c r="U88" s="41">
        <f t="shared" si="41"/>
        <v>1.3050935038866354</v>
      </c>
    </row>
    <row r="89" spans="1:21" x14ac:dyDescent="0.25">
      <c r="A89" s="26">
        <f t="shared" si="21"/>
        <v>11</v>
      </c>
      <c r="B89" s="26">
        <f t="shared" si="22"/>
        <v>1</v>
      </c>
      <c r="C89" s="26">
        <f t="shared" si="23"/>
        <v>29</v>
      </c>
      <c r="D89" s="26">
        <f t="shared" si="24"/>
        <v>1</v>
      </c>
      <c r="E89" s="26">
        <f t="shared" si="25"/>
        <v>3</v>
      </c>
      <c r="F89" s="26">
        <f t="shared" si="26"/>
        <v>35</v>
      </c>
      <c r="G89" s="29">
        <f t="shared" si="27"/>
        <v>44531</v>
      </c>
      <c r="H89" s="26">
        <f t="shared" si="28"/>
        <v>36</v>
      </c>
      <c r="I89" s="29">
        <f t="shared" si="29"/>
        <v>44531</v>
      </c>
      <c r="J89" s="33">
        <f t="shared" si="30"/>
        <v>95950.710146665573</v>
      </c>
      <c r="K89" s="33">
        <f t="shared" si="31"/>
        <v>51901.930014848709</v>
      </c>
      <c r="L89" s="19">
        <f t="shared" si="32"/>
        <v>1.7211303485985219</v>
      </c>
      <c r="M89" s="19">
        <f t="shared" si="33"/>
        <v>1.7211303485985219</v>
      </c>
      <c r="N89" s="33">
        <f t="shared" si="34"/>
        <v>89329.98689939265</v>
      </c>
      <c r="O89" s="33">
        <f t="shared" si="35"/>
        <v>94010.661285440045</v>
      </c>
      <c r="P89" s="35">
        <f t="shared" si="36"/>
        <v>0.45907716643770585</v>
      </c>
      <c r="Q89" s="35">
        <f t="shared" si="37"/>
        <v>6.9001294906028396E-2</v>
      </c>
      <c r="R89" s="35">
        <f t="shared" si="38"/>
        <v>2.0219223581149786E-2</v>
      </c>
      <c r="S89" s="35">
        <f t="shared" si="39"/>
        <v>-0.45907716643770591</v>
      </c>
      <c r="T89" s="35">
        <f t="shared" si="40"/>
        <v>-6.9001294906028354E-2</v>
      </c>
      <c r="U89" s="35">
        <f t="shared" si="41"/>
        <v>-2.0219223581149803E-2</v>
      </c>
    </row>
    <row r="90" spans="1:21" x14ac:dyDescent="0.25">
      <c r="A90" s="26">
        <f t="shared" si="21"/>
        <v>11</v>
      </c>
      <c r="B90" s="26">
        <f t="shared" si="22"/>
        <v>2</v>
      </c>
      <c r="C90" s="26">
        <f t="shared" si="23"/>
        <v>29</v>
      </c>
      <c r="D90" s="26">
        <f t="shared" si="24"/>
        <v>1</v>
      </c>
      <c r="E90" s="26">
        <f t="shared" si="25"/>
        <v>3</v>
      </c>
      <c r="F90" s="26">
        <f t="shared" si="26"/>
        <v>35</v>
      </c>
      <c r="G90" s="29">
        <f t="shared" si="27"/>
        <v>44531</v>
      </c>
      <c r="H90" s="26">
        <f t="shared" si="28"/>
        <v>37</v>
      </c>
      <c r="I90" s="29">
        <f t="shared" si="29"/>
        <v>44562</v>
      </c>
      <c r="J90" s="33">
        <f t="shared" si="30"/>
        <v>113670.3201682568</v>
      </c>
      <c r="K90" s="33">
        <f t="shared" si="31"/>
        <v>61942.760003089898</v>
      </c>
      <c r="L90" s="19">
        <f t="shared" si="32"/>
        <v>1.7211303485985219</v>
      </c>
      <c r="M90" s="19">
        <f t="shared" si="33"/>
        <v>1.7211303485985219</v>
      </c>
      <c r="N90" s="33">
        <f t="shared" si="34"/>
        <v>106611.56411727269</v>
      </c>
      <c r="O90" s="33">
        <f t="shared" si="35"/>
        <v>111251.2839618196</v>
      </c>
      <c r="P90" s="35">
        <f t="shared" si="36"/>
        <v>0.45506654761417814</v>
      </c>
      <c r="Q90" s="35">
        <f t="shared" si="37"/>
        <v>6.209849713219439E-2</v>
      </c>
      <c r="R90" s="35">
        <f t="shared" si="38"/>
        <v>2.1281159434199729E-2</v>
      </c>
      <c r="S90" s="35">
        <f t="shared" si="39"/>
        <v>-0.45506654761417809</v>
      </c>
      <c r="T90" s="35">
        <f t="shared" si="40"/>
        <v>-6.2098497132194397E-2</v>
      </c>
      <c r="U90" s="35">
        <f t="shared" si="41"/>
        <v>-2.1281159434199726E-2</v>
      </c>
    </row>
    <row r="91" spans="1:21" x14ac:dyDescent="0.25">
      <c r="A91" s="26">
        <f t="shared" si="21"/>
        <v>11</v>
      </c>
      <c r="B91" s="26">
        <f t="shared" si="22"/>
        <v>3</v>
      </c>
      <c r="C91" s="26">
        <f t="shared" si="23"/>
        <v>29</v>
      </c>
      <c r="D91" s="26">
        <f t="shared" si="24"/>
        <v>1</v>
      </c>
      <c r="E91" s="26">
        <f t="shared" si="25"/>
        <v>3</v>
      </c>
      <c r="F91" s="26">
        <f t="shared" si="26"/>
        <v>35</v>
      </c>
      <c r="G91" s="29">
        <f t="shared" si="27"/>
        <v>44531</v>
      </c>
      <c r="H91" s="26">
        <f t="shared" si="28"/>
        <v>38</v>
      </c>
      <c r="I91" s="29">
        <f t="shared" si="29"/>
        <v>44593</v>
      </c>
      <c r="J91" s="33">
        <f t="shared" si="30"/>
        <v>98015.390212059021</v>
      </c>
      <c r="K91" s="33">
        <f t="shared" si="31"/>
        <v>56663.070067644119</v>
      </c>
      <c r="L91" s="19">
        <f t="shared" si="32"/>
        <v>1.7211303485985219</v>
      </c>
      <c r="M91" s="19">
        <f t="shared" si="33"/>
        <v>1.7211303485985219</v>
      </c>
      <c r="N91" s="33">
        <f t="shared" si="34"/>
        <v>97524.529538186791</v>
      </c>
      <c r="O91" s="33">
        <f t="shared" si="35"/>
        <v>102518.82349231291</v>
      </c>
      <c r="P91" s="35">
        <f t="shared" si="36"/>
        <v>0.42189619461747802</v>
      </c>
      <c r="Q91" s="35">
        <f t="shared" si="37"/>
        <v>5.0079959158479031E-3</v>
      </c>
      <c r="R91" s="35">
        <f t="shared" si="38"/>
        <v>4.5946185293050223E-2</v>
      </c>
      <c r="S91" s="35">
        <f t="shared" si="39"/>
        <v>-0.42189619461747796</v>
      </c>
      <c r="T91" s="35">
        <f t="shared" si="40"/>
        <v>-5.0079959158478848E-3</v>
      </c>
      <c r="U91" s="35">
        <f t="shared" si="41"/>
        <v>4.5946185293050279E-2</v>
      </c>
    </row>
    <row r="92" spans="1:21" x14ac:dyDescent="0.25">
      <c r="A92" s="26">
        <f t="shared" si="21"/>
        <v>11</v>
      </c>
      <c r="B92" s="26">
        <f t="shared" si="22"/>
        <v>4</v>
      </c>
      <c r="C92" s="26">
        <f t="shared" si="23"/>
        <v>29</v>
      </c>
      <c r="D92" s="26">
        <f t="shared" si="24"/>
        <v>1</v>
      </c>
      <c r="E92" s="26">
        <f t="shared" si="25"/>
        <v>3</v>
      </c>
      <c r="F92" s="26">
        <f t="shared" si="26"/>
        <v>35</v>
      </c>
      <c r="G92" s="29">
        <f t="shared" si="27"/>
        <v>44531</v>
      </c>
      <c r="H92" s="26">
        <f t="shared" si="28"/>
        <v>39</v>
      </c>
      <c r="I92" s="29">
        <f t="shared" si="29"/>
        <v>44621</v>
      </c>
      <c r="J92" s="33">
        <f t="shared" si="30"/>
        <v>119287.8302438259</v>
      </c>
      <c r="K92" s="33">
        <f t="shared" si="31"/>
        <v>60978.700088500977</v>
      </c>
      <c r="L92" s="19">
        <f t="shared" si="32"/>
        <v>1.7211303485985219</v>
      </c>
      <c r="M92" s="19">
        <f t="shared" si="33"/>
        <v>1.7211303485985219</v>
      </c>
      <c r="N92" s="33">
        <f t="shared" si="34"/>
        <v>104952.2913404064</v>
      </c>
      <c r="O92" s="33">
        <f t="shared" si="35"/>
        <v>142914.3347223867</v>
      </c>
      <c r="P92" s="35">
        <f t="shared" si="36"/>
        <v>0.48881038439663366</v>
      </c>
      <c r="Q92" s="35">
        <f t="shared" si="37"/>
        <v>0.12017603869663372</v>
      </c>
      <c r="R92" s="35">
        <f t="shared" si="38"/>
        <v>0.1980629912562574</v>
      </c>
      <c r="S92" s="35">
        <f t="shared" si="39"/>
        <v>-0.48881038439663371</v>
      </c>
      <c r="T92" s="35">
        <f t="shared" si="40"/>
        <v>-0.12017603869663374</v>
      </c>
      <c r="U92" s="35">
        <f t="shared" si="41"/>
        <v>0.19806299125625748</v>
      </c>
    </row>
    <row r="93" spans="1:21" x14ac:dyDescent="0.25">
      <c r="A93" s="26">
        <f t="shared" si="21"/>
        <v>11</v>
      </c>
      <c r="B93" s="26">
        <f t="shared" si="22"/>
        <v>5</v>
      </c>
      <c r="C93" s="26">
        <f t="shared" si="23"/>
        <v>29</v>
      </c>
      <c r="D93" s="26">
        <f t="shared" si="24"/>
        <v>1</v>
      </c>
      <c r="E93" s="26">
        <f t="shared" si="25"/>
        <v>3</v>
      </c>
      <c r="F93" s="26">
        <f t="shared" si="26"/>
        <v>35</v>
      </c>
      <c r="G93" s="29">
        <f t="shared" si="27"/>
        <v>44531</v>
      </c>
      <c r="H93" s="26">
        <f t="shared" si="28"/>
        <v>40</v>
      </c>
      <c r="I93" s="29">
        <f t="shared" si="29"/>
        <v>44652</v>
      </c>
      <c r="J93" s="33">
        <f t="shared" si="30"/>
        <v>113637.6201777458</v>
      </c>
      <c r="K93" s="33">
        <f t="shared" si="31"/>
        <v>70861.690135478973</v>
      </c>
      <c r="L93" s="19">
        <f t="shared" si="32"/>
        <v>1.7211303485985219</v>
      </c>
      <c r="M93" s="19">
        <f t="shared" si="33"/>
        <v>1.7211303485985219</v>
      </c>
      <c r="N93" s="33">
        <f t="shared" si="34"/>
        <v>121962.20544515736</v>
      </c>
      <c r="O93" s="33">
        <f t="shared" si="35"/>
        <v>138323.49930167981</v>
      </c>
      <c r="P93" s="35">
        <f t="shared" si="36"/>
        <v>0.37642402203917191</v>
      </c>
      <c r="Q93" s="35">
        <f t="shared" si="37"/>
        <v>7.3255540325384269E-2</v>
      </c>
      <c r="R93" s="35">
        <f t="shared" si="38"/>
        <v>0.21723333421908778</v>
      </c>
      <c r="S93" s="35">
        <f t="shared" si="39"/>
        <v>-0.37642402203917191</v>
      </c>
      <c r="T93" s="35">
        <f t="shared" si="40"/>
        <v>7.3255540325384283E-2</v>
      </c>
      <c r="U93" s="35">
        <f t="shared" si="41"/>
        <v>0.21723333421908775</v>
      </c>
    </row>
    <row r="94" spans="1:21" x14ac:dyDescent="0.25">
      <c r="A94" s="26">
        <f t="shared" si="21"/>
        <v>11</v>
      </c>
      <c r="B94" s="26">
        <f t="shared" si="22"/>
        <v>6</v>
      </c>
      <c r="C94" s="26">
        <f t="shared" si="23"/>
        <v>29</v>
      </c>
      <c r="D94" s="26">
        <f t="shared" si="24"/>
        <v>1</v>
      </c>
      <c r="E94" s="26">
        <f t="shared" si="25"/>
        <v>3</v>
      </c>
      <c r="F94" s="26">
        <f t="shared" si="26"/>
        <v>35</v>
      </c>
      <c r="G94" s="29">
        <f t="shared" si="27"/>
        <v>44531</v>
      </c>
      <c r="H94" s="26">
        <f t="shared" si="28"/>
        <v>41</v>
      </c>
      <c r="I94" s="29">
        <f t="shared" si="29"/>
        <v>44682</v>
      </c>
      <c r="J94" s="33">
        <f t="shared" si="30"/>
        <v>119652.1701276302</v>
      </c>
      <c r="K94" s="33">
        <f t="shared" si="31"/>
        <v>74001.790117025375</v>
      </c>
      <c r="L94" s="19">
        <f t="shared" si="32"/>
        <v>1.7211303485985219</v>
      </c>
      <c r="M94" s="19">
        <f t="shared" si="33"/>
        <v>1.7211303485985219</v>
      </c>
      <c r="N94" s="33">
        <f t="shared" si="34"/>
        <v>127366.72682103053</v>
      </c>
      <c r="O94" s="33">
        <f t="shared" si="35"/>
        <v>130280.3802048653</v>
      </c>
      <c r="P94" s="35">
        <f t="shared" si="36"/>
        <v>0.38152571710074812</v>
      </c>
      <c r="Q94" s="35">
        <f t="shared" si="37"/>
        <v>6.4474858125610171E-2</v>
      </c>
      <c r="R94" s="35">
        <f t="shared" si="38"/>
        <v>8.8825886449850691E-2</v>
      </c>
      <c r="S94" s="35">
        <f t="shared" si="39"/>
        <v>-0.38152571710074812</v>
      </c>
      <c r="T94" s="35">
        <f t="shared" si="40"/>
        <v>6.4474858125610268E-2</v>
      </c>
      <c r="U94" s="35">
        <f t="shared" si="41"/>
        <v>8.8825886449850788E-2</v>
      </c>
    </row>
    <row r="95" spans="1:21" x14ac:dyDescent="0.25">
      <c r="A95" s="26">
        <f t="shared" si="21"/>
        <v>11</v>
      </c>
      <c r="B95" s="26">
        <f t="shared" si="22"/>
        <v>7</v>
      </c>
      <c r="C95" s="26">
        <f t="shared" si="23"/>
        <v>29</v>
      </c>
      <c r="D95" s="26">
        <f t="shared" si="24"/>
        <v>1</v>
      </c>
      <c r="E95" s="26">
        <f t="shared" si="25"/>
        <v>3</v>
      </c>
      <c r="F95" s="26">
        <f t="shared" si="26"/>
        <v>35</v>
      </c>
      <c r="G95" s="29">
        <f t="shared" si="27"/>
        <v>44531</v>
      </c>
      <c r="H95" s="26">
        <f t="shared" si="28"/>
        <v>42</v>
      </c>
      <c r="I95" s="29">
        <f t="shared" si="29"/>
        <v>44713</v>
      </c>
      <c r="J95" s="33">
        <f t="shared" si="30"/>
        <v>133353.570147872</v>
      </c>
      <c r="K95" s="33">
        <f t="shared" si="31"/>
        <v>74855.450057983398</v>
      </c>
      <c r="L95" s="19">
        <f t="shared" si="32"/>
        <v>1.7211303485985219</v>
      </c>
      <c r="M95" s="19">
        <f t="shared" si="33"/>
        <v>1.7211303485985219</v>
      </c>
      <c r="N95" s="33">
        <f t="shared" si="34"/>
        <v>128835.98685279621</v>
      </c>
      <c r="O95" s="33">
        <f t="shared" si="35"/>
        <v>123912.7063289527</v>
      </c>
      <c r="P95" s="35">
        <f t="shared" si="36"/>
        <v>0.43866932115144491</v>
      </c>
      <c r="Q95" s="35">
        <f t="shared" si="37"/>
        <v>3.3876733034341487E-2</v>
      </c>
      <c r="R95" s="35">
        <f t="shared" si="38"/>
        <v>7.079573354092128E-2</v>
      </c>
      <c r="S95" s="35">
        <f t="shared" si="39"/>
        <v>-0.43866932115144497</v>
      </c>
      <c r="T95" s="35">
        <f t="shared" si="40"/>
        <v>-3.3876733034341466E-2</v>
      </c>
      <c r="U95" s="35">
        <f t="shared" si="41"/>
        <v>-7.079573354092128E-2</v>
      </c>
    </row>
    <row r="96" spans="1:21" x14ac:dyDescent="0.25">
      <c r="A96" s="37">
        <f t="shared" si="21"/>
        <v>11</v>
      </c>
      <c r="B96" s="37">
        <f t="shared" si="22"/>
        <v>8</v>
      </c>
      <c r="C96" s="37">
        <f t="shared" si="23"/>
        <v>29</v>
      </c>
      <c r="D96" s="37">
        <f t="shared" si="24"/>
        <v>1</v>
      </c>
      <c r="E96" s="37">
        <f t="shared" si="25"/>
        <v>3</v>
      </c>
      <c r="F96" s="37">
        <f t="shared" si="26"/>
        <v>35</v>
      </c>
      <c r="G96" s="38">
        <f t="shared" si="27"/>
        <v>44531</v>
      </c>
      <c r="H96" s="37">
        <f t="shared" si="28"/>
        <v>43</v>
      </c>
      <c r="I96" s="38">
        <f t="shared" si="29"/>
        <v>44743</v>
      </c>
      <c r="J96" s="39">
        <f t="shared" si="30"/>
        <v>137325.9301383495</v>
      </c>
      <c r="K96" s="39">
        <f t="shared" si="31"/>
        <v>80016.69003367424</v>
      </c>
      <c r="L96" s="40">
        <f t="shared" si="32"/>
        <v>1.7211303485985219</v>
      </c>
      <c r="M96" s="40">
        <f t="shared" si="33"/>
        <v>1.7211303485985219</v>
      </c>
      <c r="N96" s="39">
        <f t="shared" si="34"/>
        <v>137719.15361135761</v>
      </c>
      <c r="O96" s="39">
        <f t="shared" si="35"/>
        <v>130518.9425328537</v>
      </c>
      <c r="P96" s="41">
        <f t="shared" si="36"/>
        <v>0.4173227885435683</v>
      </c>
      <c r="Q96" s="41">
        <f t="shared" si="37"/>
        <v>2.8634320744229183E-3</v>
      </c>
      <c r="R96" s="41">
        <f t="shared" si="38"/>
        <v>4.9568115785839396E-2</v>
      </c>
      <c r="S96" s="41">
        <f t="shared" si="39"/>
        <v>-0.4173227885435683</v>
      </c>
      <c r="T96" s="41">
        <f t="shared" si="40"/>
        <v>2.8634320744229669E-3</v>
      </c>
      <c r="U96" s="41">
        <f t="shared" si="41"/>
        <v>-4.9568115785839417E-2</v>
      </c>
    </row>
    <row r="97" spans="1:21" x14ac:dyDescent="0.25">
      <c r="A97" s="26">
        <f t="shared" si="21"/>
        <v>12</v>
      </c>
      <c r="B97" s="26">
        <f t="shared" si="22"/>
        <v>1</v>
      </c>
      <c r="C97" s="26">
        <f t="shared" si="23"/>
        <v>28</v>
      </c>
      <c r="D97" s="26">
        <f t="shared" si="24"/>
        <v>1</v>
      </c>
      <c r="E97" s="26">
        <f t="shared" si="25"/>
        <v>4</v>
      </c>
      <c r="F97" s="26">
        <f t="shared" si="26"/>
        <v>36</v>
      </c>
      <c r="G97" s="29">
        <f t="shared" si="27"/>
        <v>44562</v>
      </c>
      <c r="H97" s="26">
        <f t="shared" si="28"/>
        <v>37</v>
      </c>
      <c r="I97" s="29">
        <f t="shared" si="29"/>
        <v>44562</v>
      </c>
      <c r="J97" s="33">
        <f t="shared" si="30"/>
        <v>113670.3201682568</v>
      </c>
      <c r="K97" s="33">
        <f t="shared" si="31"/>
        <v>61942.760003089898</v>
      </c>
      <c r="L97" s="19">
        <f t="shared" si="32"/>
        <v>1.8486925268331038</v>
      </c>
      <c r="M97" s="19">
        <f t="shared" si="33"/>
        <v>1.8486925268331038</v>
      </c>
      <c r="N97" s="33">
        <f t="shared" si="34"/>
        <v>114513.11750912877</v>
      </c>
      <c r="O97" s="33">
        <f t="shared" si="35"/>
        <v>114706.67395241361</v>
      </c>
      <c r="P97" s="35">
        <f t="shared" si="36"/>
        <v>0.45506654761417814</v>
      </c>
      <c r="Q97" s="35">
        <f t="shared" si="37"/>
        <v>7.4144010470318595E-3</v>
      </c>
      <c r="R97" s="35">
        <f t="shared" si="38"/>
        <v>9.1171889251545537E-3</v>
      </c>
      <c r="S97" s="35">
        <f t="shared" si="39"/>
        <v>-0.45506654761417809</v>
      </c>
      <c r="T97" s="35">
        <f t="shared" si="40"/>
        <v>7.4144010470318378E-3</v>
      </c>
      <c r="U97" s="35">
        <f t="shared" si="41"/>
        <v>9.1171889251544513E-3</v>
      </c>
    </row>
    <row r="98" spans="1:21" x14ac:dyDescent="0.25">
      <c r="A98" s="26">
        <f t="shared" si="21"/>
        <v>12</v>
      </c>
      <c r="B98" s="26">
        <f t="shared" si="22"/>
        <v>2</v>
      </c>
      <c r="C98" s="26">
        <f t="shared" si="23"/>
        <v>28</v>
      </c>
      <c r="D98" s="26">
        <f t="shared" si="24"/>
        <v>1</v>
      </c>
      <c r="E98" s="26">
        <f t="shared" si="25"/>
        <v>4</v>
      </c>
      <c r="F98" s="26">
        <f t="shared" si="26"/>
        <v>36</v>
      </c>
      <c r="G98" s="29">
        <f t="shared" si="27"/>
        <v>44562</v>
      </c>
      <c r="H98" s="26">
        <f t="shared" si="28"/>
        <v>38</v>
      </c>
      <c r="I98" s="29">
        <f t="shared" si="29"/>
        <v>44593</v>
      </c>
      <c r="J98" s="33">
        <f t="shared" si="30"/>
        <v>98015.390212059021</v>
      </c>
      <c r="K98" s="33">
        <f t="shared" si="31"/>
        <v>56663.070067644119</v>
      </c>
      <c r="L98" s="19">
        <f t="shared" si="32"/>
        <v>1.8486925268331038</v>
      </c>
      <c r="M98" s="19">
        <f t="shared" si="33"/>
        <v>1.8486925268331038</v>
      </c>
      <c r="N98" s="33">
        <f t="shared" si="34"/>
        <v>104752.59418147421</v>
      </c>
      <c r="O98" s="33">
        <f t="shared" si="35"/>
        <v>106840.7024342229</v>
      </c>
      <c r="P98" s="35">
        <f t="shared" si="36"/>
        <v>0.42189619461747802</v>
      </c>
      <c r="Q98" s="35">
        <f t="shared" si="37"/>
        <v>6.8736184744447398E-2</v>
      </c>
      <c r="R98" s="35">
        <f t="shared" si="38"/>
        <v>9.0040066188279907E-2</v>
      </c>
      <c r="S98" s="35">
        <f t="shared" si="39"/>
        <v>-0.42189619461747796</v>
      </c>
      <c r="T98" s="35">
        <f t="shared" si="40"/>
        <v>6.8736184744447426E-2</v>
      </c>
      <c r="U98" s="35">
        <f t="shared" si="41"/>
        <v>9.0040066188279866E-2</v>
      </c>
    </row>
    <row r="99" spans="1:21" x14ac:dyDescent="0.25">
      <c r="A99" s="26">
        <f t="shared" si="21"/>
        <v>12</v>
      </c>
      <c r="B99" s="26">
        <f t="shared" si="22"/>
        <v>3</v>
      </c>
      <c r="C99" s="26">
        <f t="shared" si="23"/>
        <v>28</v>
      </c>
      <c r="D99" s="26">
        <f t="shared" si="24"/>
        <v>1</v>
      </c>
      <c r="E99" s="26">
        <f t="shared" si="25"/>
        <v>4</v>
      </c>
      <c r="F99" s="26">
        <f t="shared" si="26"/>
        <v>36</v>
      </c>
      <c r="G99" s="29">
        <f t="shared" si="27"/>
        <v>44562</v>
      </c>
      <c r="H99" s="26">
        <f t="shared" si="28"/>
        <v>39</v>
      </c>
      <c r="I99" s="29">
        <f t="shared" si="29"/>
        <v>44621</v>
      </c>
      <c r="J99" s="33">
        <f t="shared" si="30"/>
        <v>119287.8302438259</v>
      </c>
      <c r="K99" s="33">
        <f t="shared" si="31"/>
        <v>60978.700088500977</v>
      </c>
      <c r="L99" s="19">
        <f t="shared" si="32"/>
        <v>1.8486925268331038</v>
      </c>
      <c r="M99" s="19">
        <f t="shared" si="33"/>
        <v>1.8486925268331038</v>
      </c>
      <c r="N99" s="33">
        <f t="shared" si="34"/>
        <v>112730.86714960888</v>
      </c>
      <c r="O99" s="33">
        <f t="shared" si="35"/>
        <v>150500.6608627715</v>
      </c>
      <c r="P99" s="35">
        <f t="shared" si="36"/>
        <v>0.48881038439663366</v>
      </c>
      <c r="Q99" s="35">
        <f t="shared" si="37"/>
        <v>5.4967577839369695E-2</v>
      </c>
      <c r="R99" s="35">
        <f t="shared" si="38"/>
        <v>0.26165980683147783</v>
      </c>
      <c r="S99" s="35">
        <f t="shared" si="39"/>
        <v>-0.48881038439663371</v>
      </c>
      <c r="T99" s="35">
        <f t="shared" si="40"/>
        <v>-5.4967577839369675E-2</v>
      </c>
      <c r="U99" s="35">
        <f t="shared" si="41"/>
        <v>0.26165980683147794</v>
      </c>
    </row>
    <row r="100" spans="1:21" x14ac:dyDescent="0.25">
      <c r="A100" s="26">
        <f t="shared" si="21"/>
        <v>12</v>
      </c>
      <c r="B100" s="26">
        <f t="shared" si="22"/>
        <v>4</v>
      </c>
      <c r="C100" s="26">
        <f t="shared" si="23"/>
        <v>28</v>
      </c>
      <c r="D100" s="26">
        <f t="shared" si="24"/>
        <v>1</v>
      </c>
      <c r="E100" s="26">
        <f t="shared" si="25"/>
        <v>4</v>
      </c>
      <c r="F100" s="26">
        <f t="shared" si="26"/>
        <v>36</v>
      </c>
      <c r="G100" s="29">
        <f t="shared" si="27"/>
        <v>44562</v>
      </c>
      <c r="H100" s="26">
        <f t="shared" si="28"/>
        <v>40</v>
      </c>
      <c r="I100" s="29">
        <f t="shared" si="29"/>
        <v>44652</v>
      </c>
      <c r="J100" s="33">
        <f t="shared" si="30"/>
        <v>113637.6201777458</v>
      </c>
      <c r="K100" s="33">
        <f t="shared" si="31"/>
        <v>70861.690135478973</v>
      </c>
      <c r="L100" s="19">
        <f t="shared" si="32"/>
        <v>1.8486925268331038</v>
      </c>
      <c r="M100" s="19">
        <f t="shared" si="33"/>
        <v>1.8486925268331038</v>
      </c>
      <c r="N100" s="33">
        <f t="shared" si="34"/>
        <v>131001.47699222305</v>
      </c>
      <c r="O100" s="33">
        <f t="shared" si="35"/>
        <v>147152.38547086521</v>
      </c>
      <c r="P100" s="35">
        <f t="shared" si="36"/>
        <v>0.37642402203917191</v>
      </c>
      <c r="Q100" s="35">
        <f t="shared" si="37"/>
        <v>0.15280025036882716</v>
      </c>
      <c r="R100" s="35">
        <f t="shared" si="38"/>
        <v>0.2949266734088361</v>
      </c>
      <c r="S100" s="35">
        <f t="shared" si="39"/>
        <v>-0.37642402203917191</v>
      </c>
      <c r="T100" s="35">
        <f t="shared" si="40"/>
        <v>0.15280025036882705</v>
      </c>
      <c r="U100" s="35">
        <f t="shared" si="41"/>
        <v>0.29492667340883605</v>
      </c>
    </row>
    <row r="101" spans="1:21" x14ac:dyDescent="0.25">
      <c r="A101" s="26">
        <f t="shared" si="21"/>
        <v>12</v>
      </c>
      <c r="B101" s="26">
        <f t="shared" si="22"/>
        <v>5</v>
      </c>
      <c r="C101" s="26">
        <f t="shared" si="23"/>
        <v>28</v>
      </c>
      <c r="D101" s="26">
        <f t="shared" si="24"/>
        <v>1</v>
      </c>
      <c r="E101" s="26">
        <f t="shared" si="25"/>
        <v>4</v>
      </c>
      <c r="F101" s="26">
        <f t="shared" si="26"/>
        <v>36</v>
      </c>
      <c r="G101" s="29">
        <f t="shared" si="27"/>
        <v>44562</v>
      </c>
      <c r="H101" s="26">
        <f t="shared" si="28"/>
        <v>41</v>
      </c>
      <c r="I101" s="29">
        <f t="shared" si="29"/>
        <v>44682</v>
      </c>
      <c r="J101" s="33">
        <f t="shared" si="30"/>
        <v>119652.1701276302</v>
      </c>
      <c r="K101" s="33">
        <f t="shared" si="31"/>
        <v>74001.790117025375</v>
      </c>
      <c r="L101" s="19">
        <f t="shared" si="32"/>
        <v>1.8486925268331038</v>
      </c>
      <c r="M101" s="19">
        <f t="shared" si="33"/>
        <v>1.8486925268331038</v>
      </c>
      <c r="N101" s="33">
        <f t="shared" si="34"/>
        <v>136806.55636161665</v>
      </c>
      <c r="O101" s="33">
        <f t="shared" si="35"/>
        <v>139972.41141217301</v>
      </c>
      <c r="P101" s="35">
        <f t="shared" si="36"/>
        <v>0.38152571710074812</v>
      </c>
      <c r="Q101" s="35">
        <f t="shared" si="37"/>
        <v>0.14336878483430979</v>
      </c>
      <c r="R101" s="35">
        <f t="shared" si="38"/>
        <v>0.16982760331774738</v>
      </c>
      <c r="S101" s="35">
        <f t="shared" si="39"/>
        <v>-0.38152571710074812</v>
      </c>
      <c r="T101" s="35">
        <f t="shared" si="40"/>
        <v>0.1433687848343097</v>
      </c>
      <c r="U101" s="35">
        <f t="shared" si="41"/>
        <v>0.16982760331774727</v>
      </c>
    </row>
    <row r="102" spans="1:21" x14ac:dyDescent="0.25">
      <c r="A102" s="26">
        <f t="shared" si="21"/>
        <v>12</v>
      </c>
      <c r="B102" s="26">
        <f t="shared" si="22"/>
        <v>6</v>
      </c>
      <c r="C102" s="26">
        <f t="shared" si="23"/>
        <v>28</v>
      </c>
      <c r="D102" s="26">
        <f t="shared" si="24"/>
        <v>1</v>
      </c>
      <c r="E102" s="26">
        <f t="shared" si="25"/>
        <v>4</v>
      </c>
      <c r="F102" s="26">
        <f t="shared" si="26"/>
        <v>36</v>
      </c>
      <c r="G102" s="29">
        <f t="shared" si="27"/>
        <v>44562</v>
      </c>
      <c r="H102" s="26">
        <f t="shared" si="28"/>
        <v>42</v>
      </c>
      <c r="I102" s="29">
        <f t="shared" si="29"/>
        <v>44713</v>
      </c>
      <c r="J102" s="33">
        <f t="shared" si="30"/>
        <v>133353.570147872</v>
      </c>
      <c r="K102" s="33">
        <f t="shared" si="31"/>
        <v>74855.450057983398</v>
      </c>
      <c r="L102" s="19">
        <f t="shared" si="32"/>
        <v>1.8486925268331038</v>
      </c>
      <c r="M102" s="19">
        <f t="shared" si="33"/>
        <v>1.8486925268331038</v>
      </c>
      <c r="N102" s="33">
        <f t="shared" si="34"/>
        <v>138384.71111492254</v>
      </c>
      <c r="O102" s="33">
        <f t="shared" si="35"/>
        <v>134415.34666080619</v>
      </c>
      <c r="P102" s="35">
        <f t="shared" si="36"/>
        <v>0.43866932115144491</v>
      </c>
      <c r="Q102" s="35">
        <f t="shared" si="37"/>
        <v>3.7727831069476796E-2</v>
      </c>
      <c r="R102" s="35">
        <f t="shared" si="38"/>
        <v>7.9621153881130596E-3</v>
      </c>
      <c r="S102" s="35">
        <f t="shared" si="39"/>
        <v>-0.43866932115144497</v>
      </c>
      <c r="T102" s="35">
        <f t="shared" si="40"/>
        <v>3.7727831069476858E-2</v>
      </c>
      <c r="U102" s="35">
        <f t="shared" si="41"/>
        <v>7.9621153881130891E-3</v>
      </c>
    </row>
    <row r="103" spans="1:21" x14ac:dyDescent="0.25">
      <c r="A103" s="26">
        <f t="shared" si="21"/>
        <v>12</v>
      </c>
      <c r="B103" s="26">
        <f t="shared" si="22"/>
        <v>7</v>
      </c>
      <c r="C103" s="26">
        <f t="shared" si="23"/>
        <v>28</v>
      </c>
      <c r="D103" s="26">
        <f t="shared" si="24"/>
        <v>1</v>
      </c>
      <c r="E103" s="26">
        <f t="shared" si="25"/>
        <v>4</v>
      </c>
      <c r="F103" s="26">
        <f t="shared" si="26"/>
        <v>36</v>
      </c>
      <c r="G103" s="29">
        <f t="shared" si="27"/>
        <v>44562</v>
      </c>
      <c r="H103" s="26">
        <f t="shared" si="28"/>
        <v>43</v>
      </c>
      <c r="I103" s="29">
        <f t="shared" si="29"/>
        <v>44743</v>
      </c>
      <c r="J103" s="33">
        <f t="shared" si="30"/>
        <v>137325.9301383495</v>
      </c>
      <c r="K103" s="33">
        <f t="shared" si="31"/>
        <v>80016.69003367424</v>
      </c>
      <c r="L103" s="19">
        <f t="shared" si="32"/>
        <v>1.8486925268331038</v>
      </c>
      <c r="M103" s="19">
        <f t="shared" si="33"/>
        <v>1.8486925268331038</v>
      </c>
      <c r="N103" s="33">
        <f t="shared" si="34"/>
        <v>147926.25688717447</v>
      </c>
      <c r="O103" s="33">
        <f t="shared" si="35"/>
        <v>142907.71908761229</v>
      </c>
      <c r="P103" s="35">
        <f t="shared" si="36"/>
        <v>0.4173227885435683</v>
      </c>
      <c r="Q103" s="35">
        <f t="shared" si="37"/>
        <v>7.7191006375457505E-2</v>
      </c>
      <c r="R103" s="35">
        <f t="shared" si="38"/>
        <v>4.064628540028379E-2</v>
      </c>
      <c r="S103" s="35">
        <f t="shared" si="39"/>
        <v>-0.4173227885435683</v>
      </c>
      <c r="T103" s="35">
        <f t="shared" si="40"/>
        <v>7.7191006375457505E-2</v>
      </c>
      <c r="U103" s="35">
        <f t="shared" si="41"/>
        <v>4.064628540028381E-2</v>
      </c>
    </row>
    <row r="104" spans="1:21" x14ac:dyDescent="0.25">
      <c r="A104" s="37">
        <f t="shared" si="21"/>
        <v>12</v>
      </c>
      <c r="B104" s="37">
        <f t="shared" si="22"/>
        <v>8</v>
      </c>
      <c r="C104" s="37">
        <f t="shared" si="23"/>
        <v>28</v>
      </c>
      <c r="D104" s="37">
        <f t="shared" si="24"/>
        <v>1</v>
      </c>
      <c r="E104" s="37">
        <f t="shared" si="25"/>
        <v>4</v>
      </c>
      <c r="F104" s="37">
        <f t="shared" si="26"/>
        <v>36</v>
      </c>
      <c r="G104" s="38">
        <f t="shared" si="27"/>
        <v>44562</v>
      </c>
      <c r="H104" s="37">
        <f t="shared" si="28"/>
        <v>44</v>
      </c>
      <c r="I104" s="38">
        <f t="shared" si="29"/>
        <v>44774</v>
      </c>
      <c r="J104" s="39">
        <f t="shared" si="30"/>
        <v>142612.7901010513</v>
      </c>
      <c r="K104" s="39">
        <f t="shared" si="31"/>
        <v>80303.24014878273</v>
      </c>
      <c r="L104" s="40">
        <f t="shared" si="32"/>
        <v>1.8486925268331038</v>
      </c>
      <c r="M104" s="40">
        <f t="shared" si="33"/>
        <v>1.8486925268331038</v>
      </c>
      <c r="N104" s="39">
        <f t="shared" si="34"/>
        <v>148455.99994353869</v>
      </c>
      <c r="O104" s="39">
        <f t="shared" si="35"/>
        <v>140624.5759414506</v>
      </c>
      <c r="P104" s="41">
        <f t="shared" si="36"/>
        <v>0.43691417795078424</v>
      </c>
      <c r="Q104" s="41">
        <f t="shared" si="37"/>
        <v>4.0972551188060022E-2</v>
      </c>
      <c r="R104" s="41">
        <f t="shared" si="38"/>
        <v>1.3941345360341856E-2</v>
      </c>
      <c r="S104" s="41">
        <f t="shared" si="39"/>
        <v>-0.43691417795078424</v>
      </c>
      <c r="T104" s="41">
        <f t="shared" si="40"/>
        <v>4.0972551188060091E-2</v>
      </c>
      <c r="U104" s="41">
        <f t="shared" si="41"/>
        <v>-1.3941345360341861E-2</v>
      </c>
    </row>
    <row r="105" spans="1:21" x14ac:dyDescent="0.25">
      <c r="A105" s="26">
        <f t="shared" si="21"/>
        <v>13</v>
      </c>
      <c r="B105" s="26">
        <f t="shared" si="22"/>
        <v>1</v>
      </c>
      <c r="C105" s="26">
        <f t="shared" si="23"/>
        <v>27</v>
      </c>
      <c r="D105" s="26">
        <f t="shared" si="24"/>
        <v>1</v>
      </c>
      <c r="E105" s="26">
        <f t="shared" si="25"/>
        <v>5</v>
      </c>
      <c r="F105" s="26">
        <f t="shared" si="26"/>
        <v>37</v>
      </c>
      <c r="G105" s="29">
        <f t="shared" si="27"/>
        <v>44593</v>
      </c>
      <c r="H105" s="26">
        <f t="shared" si="28"/>
        <v>38</v>
      </c>
      <c r="I105" s="29">
        <f t="shared" si="29"/>
        <v>44593</v>
      </c>
      <c r="J105" s="33">
        <f t="shared" si="30"/>
        <v>98015.390212059021</v>
      </c>
      <c r="K105" s="33">
        <f t="shared" si="31"/>
        <v>56663.070067644119</v>
      </c>
      <c r="L105" s="19">
        <f t="shared" si="32"/>
        <v>1.8350864598636962</v>
      </c>
      <c r="M105" s="19">
        <f t="shared" si="33"/>
        <v>1.8350864598636962</v>
      </c>
      <c r="N105" s="33">
        <f t="shared" si="34"/>
        <v>103981.63265544162</v>
      </c>
      <c r="O105" s="33">
        <f t="shared" si="35"/>
        <v>105273.3609743601</v>
      </c>
      <c r="P105" s="35">
        <f t="shared" si="36"/>
        <v>0.42189619461747802</v>
      </c>
      <c r="Q105" s="35">
        <f t="shared" si="37"/>
        <v>6.0870465653143482E-2</v>
      </c>
      <c r="R105" s="35">
        <f t="shared" si="38"/>
        <v>7.4049297223612073E-2</v>
      </c>
      <c r="S105" s="35">
        <f t="shared" si="39"/>
        <v>-0.42189619461747796</v>
      </c>
      <c r="T105" s="35">
        <f t="shared" si="40"/>
        <v>6.0870465653143579E-2</v>
      </c>
      <c r="U105" s="35">
        <f t="shared" si="41"/>
        <v>7.4049297223611976E-2</v>
      </c>
    </row>
    <row r="106" spans="1:21" x14ac:dyDescent="0.25">
      <c r="A106" s="26">
        <f t="shared" si="21"/>
        <v>13</v>
      </c>
      <c r="B106" s="26">
        <f t="shared" si="22"/>
        <v>2</v>
      </c>
      <c r="C106" s="26">
        <f t="shared" si="23"/>
        <v>27</v>
      </c>
      <c r="D106" s="26">
        <f t="shared" si="24"/>
        <v>1</v>
      </c>
      <c r="E106" s="26">
        <f t="shared" si="25"/>
        <v>5</v>
      </c>
      <c r="F106" s="26">
        <f t="shared" si="26"/>
        <v>37</v>
      </c>
      <c r="G106" s="29">
        <f t="shared" si="27"/>
        <v>44593</v>
      </c>
      <c r="H106" s="26">
        <f t="shared" si="28"/>
        <v>39</v>
      </c>
      <c r="I106" s="29">
        <f t="shared" si="29"/>
        <v>44621</v>
      </c>
      <c r="J106" s="33">
        <f t="shared" si="30"/>
        <v>119287.8302438259</v>
      </c>
      <c r="K106" s="33">
        <f t="shared" si="31"/>
        <v>60978.700088500977</v>
      </c>
      <c r="L106" s="19">
        <f t="shared" si="32"/>
        <v>1.8350864598636962</v>
      </c>
      <c r="M106" s="19">
        <f t="shared" si="33"/>
        <v>1.8350864598636962</v>
      </c>
      <c r="N106" s="33">
        <f t="shared" si="34"/>
        <v>111901.18687249732</v>
      </c>
      <c r="O106" s="33">
        <f t="shared" si="35"/>
        <v>147409.3261930102</v>
      </c>
      <c r="P106" s="35">
        <f t="shared" si="36"/>
        <v>0.48881038439663366</v>
      </c>
      <c r="Q106" s="35">
        <f t="shared" si="37"/>
        <v>6.19228579833348E-2</v>
      </c>
      <c r="R106" s="35">
        <f t="shared" si="38"/>
        <v>0.23574488606007499</v>
      </c>
      <c r="S106" s="35">
        <f t="shared" si="39"/>
        <v>-0.48881038439663371</v>
      </c>
      <c r="T106" s="35">
        <f t="shared" si="40"/>
        <v>-6.1922857983334745E-2</v>
      </c>
      <c r="U106" s="35">
        <f t="shared" si="41"/>
        <v>0.23574488606007504</v>
      </c>
    </row>
    <row r="107" spans="1:21" x14ac:dyDescent="0.25">
      <c r="A107" s="26">
        <f t="shared" si="21"/>
        <v>13</v>
      </c>
      <c r="B107" s="26">
        <f t="shared" si="22"/>
        <v>3</v>
      </c>
      <c r="C107" s="26">
        <f t="shared" si="23"/>
        <v>27</v>
      </c>
      <c r="D107" s="26">
        <f t="shared" si="24"/>
        <v>1</v>
      </c>
      <c r="E107" s="26">
        <f t="shared" si="25"/>
        <v>5</v>
      </c>
      <c r="F107" s="26">
        <f t="shared" si="26"/>
        <v>37</v>
      </c>
      <c r="G107" s="29">
        <f t="shared" si="27"/>
        <v>44593</v>
      </c>
      <c r="H107" s="26">
        <f t="shared" si="28"/>
        <v>40</v>
      </c>
      <c r="I107" s="29">
        <f t="shared" si="29"/>
        <v>44652</v>
      </c>
      <c r="J107" s="33">
        <f t="shared" si="30"/>
        <v>113637.6201777458</v>
      </c>
      <c r="K107" s="33">
        <f t="shared" si="31"/>
        <v>70861.690135478973</v>
      </c>
      <c r="L107" s="19">
        <f t="shared" si="32"/>
        <v>1.8350864598636962</v>
      </c>
      <c r="M107" s="19">
        <f t="shared" si="33"/>
        <v>1.8350864598636962</v>
      </c>
      <c r="N107" s="33">
        <f t="shared" si="34"/>
        <v>130037.32809067432</v>
      </c>
      <c r="O107" s="33">
        <f t="shared" si="35"/>
        <v>143305.86809134</v>
      </c>
      <c r="P107" s="35">
        <f t="shared" si="36"/>
        <v>0.37642402203917191</v>
      </c>
      <c r="Q107" s="35">
        <f t="shared" si="37"/>
        <v>0.14431583385217833</v>
      </c>
      <c r="R107" s="35">
        <f t="shared" si="38"/>
        <v>0.26107769475626763</v>
      </c>
      <c r="S107" s="35">
        <f t="shared" si="39"/>
        <v>-0.37642402203917191</v>
      </c>
      <c r="T107" s="35">
        <f t="shared" si="40"/>
        <v>0.14431583385217839</v>
      </c>
      <c r="U107" s="35">
        <f t="shared" si="41"/>
        <v>0.26107769475626763</v>
      </c>
    </row>
    <row r="108" spans="1:21" x14ac:dyDescent="0.25">
      <c r="A108" s="26">
        <f t="shared" si="21"/>
        <v>13</v>
      </c>
      <c r="B108" s="26">
        <f t="shared" si="22"/>
        <v>4</v>
      </c>
      <c r="C108" s="26">
        <f t="shared" si="23"/>
        <v>27</v>
      </c>
      <c r="D108" s="26">
        <f t="shared" si="24"/>
        <v>1</v>
      </c>
      <c r="E108" s="26">
        <f t="shared" si="25"/>
        <v>5</v>
      </c>
      <c r="F108" s="26">
        <f t="shared" si="26"/>
        <v>37</v>
      </c>
      <c r="G108" s="29">
        <f t="shared" si="27"/>
        <v>44593</v>
      </c>
      <c r="H108" s="26">
        <f t="shared" si="28"/>
        <v>41</v>
      </c>
      <c r="I108" s="29">
        <f t="shared" si="29"/>
        <v>44682</v>
      </c>
      <c r="J108" s="33">
        <f t="shared" si="30"/>
        <v>119652.1701276302</v>
      </c>
      <c r="K108" s="33">
        <f t="shared" si="31"/>
        <v>74001.790117025375</v>
      </c>
      <c r="L108" s="19">
        <f t="shared" si="32"/>
        <v>1.8350864598636962</v>
      </c>
      <c r="M108" s="19">
        <f t="shared" si="33"/>
        <v>1.8350864598636962</v>
      </c>
      <c r="N108" s="33">
        <f t="shared" si="34"/>
        <v>135799.68304942836</v>
      </c>
      <c r="O108" s="33">
        <f t="shared" si="35"/>
        <v>135566.39067907029</v>
      </c>
      <c r="P108" s="35">
        <f t="shared" si="36"/>
        <v>0.38152571710074812</v>
      </c>
      <c r="Q108" s="35">
        <f t="shared" si="37"/>
        <v>0.1349537823223263</v>
      </c>
      <c r="R108" s="35">
        <f t="shared" si="38"/>
        <v>0.13300402771186476</v>
      </c>
      <c r="S108" s="35">
        <f t="shared" si="39"/>
        <v>-0.38152571710074812</v>
      </c>
      <c r="T108" s="35">
        <f t="shared" si="40"/>
        <v>0.13495378232232635</v>
      </c>
      <c r="U108" s="35">
        <f t="shared" si="41"/>
        <v>0.1330040277118647</v>
      </c>
    </row>
    <row r="109" spans="1:21" x14ac:dyDescent="0.25">
      <c r="A109" s="26">
        <f t="shared" si="21"/>
        <v>13</v>
      </c>
      <c r="B109" s="26">
        <f t="shared" si="22"/>
        <v>5</v>
      </c>
      <c r="C109" s="26">
        <f t="shared" si="23"/>
        <v>27</v>
      </c>
      <c r="D109" s="26">
        <f t="shared" si="24"/>
        <v>1</v>
      </c>
      <c r="E109" s="26">
        <f t="shared" si="25"/>
        <v>5</v>
      </c>
      <c r="F109" s="26">
        <f t="shared" si="26"/>
        <v>37</v>
      </c>
      <c r="G109" s="29">
        <f t="shared" si="27"/>
        <v>44593</v>
      </c>
      <c r="H109" s="26">
        <f t="shared" si="28"/>
        <v>42</v>
      </c>
      <c r="I109" s="29">
        <f t="shared" si="29"/>
        <v>44713</v>
      </c>
      <c r="J109" s="33">
        <f t="shared" si="30"/>
        <v>133353.570147872</v>
      </c>
      <c r="K109" s="33">
        <f t="shared" si="31"/>
        <v>74855.450057983398</v>
      </c>
      <c r="L109" s="19">
        <f t="shared" si="32"/>
        <v>1.8350864598636962</v>
      </c>
      <c r="M109" s="19">
        <f t="shared" si="33"/>
        <v>1.8350864598636962</v>
      </c>
      <c r="N109" s="33">
        <f t="shared" si="34"/>
        <v>137366.22284840848</v>
      </c>
      <c r="O109" s="33">
        <f t="shared" si="35"/>
        <v>129501.910650071</v>
      </c>
      <c r="P109" s="35">
        <f t="shared" si="36"/>
        <v>0.43866932115144491</v>
      </c>
      <c r="Q109" s="35">
        <f t="shared" si="37"/>
        <v>3.0090328261080372E-2</v>
      </c>
      <c r="R109" s="35">
        <f t="shared" si="38"/>
        <v>2.8883062474667907E-2</v>
      </c>
      <c r="S109" s="35">
        <f t="shared" si="39"/>
        <v>-0.43866932115144497</v>
      </c>
      <c r="T109" s="35">
        <f t="shared" si="40"/>
        <v>3.0090328261080268E-2</v>
      </c>
      <c r="U109" s="35">
        <f t="shared" si="41"/>
        <v>-2.8883062474667875E-2</v>
      </c>
    </row>
    <row r="110" spans="1:21" x14ac:dyDescent="0.25">
      <c r="A110" s="26">
        <f t="shared" si="21"/>
        <v>13</v>
      </c>
      <c r="B110" s="26">
        <f t="shared" si="22"/>
        <v>6</v>
      </c>
      <c r="C110" s="26">
        <f t="shared" si="23"/>
        <v>27</v>
      </c>
      <c r="D110" s="26">
        <f t="shared" si="24"/>
        <v>1</v>
      </c>
      <c r="E110" s="26">
        <f t="shared" si="25"/>
        <v>5</v>
      </c>
      <c r="F110" s="26">
        <f t="shared" si="26"/>
        <v>37</v>
      </c>
      <c r="G110" s="29">
        <f t="shared" si="27"/>
        <v>44593</v>
      </c>
      <c r="H110" s="26">
        <f t="shared" si="28"/>
        <v>43</v>
      </c>
      <c r="I110" s="29">
        <f t="shared" si="29"/>
        <v>44743</v>
      </c>
      <c r="J110" s="33">
        <f t="shared" si="30"/>
        <v>137325.9301383495</v>
      </c>
      <c r="K110" s="33">
        <f t="shared" si="31"/>
        <v>80016.69003367424</v>
      </c>
      <c r="L110" s="19">
        <f t="shared" si="32"/>
        <v>1.8350864598636962</v>
      </c>
      <c r="M110" s="19">
        <f t="shared" si="33"/>
        <v>1.8350864598636962</v>
      </c>
      <c r="N110" s="33">
        <f t="shared" si="34"/>
        <v>146837.54444390596</v>
      </c>
      <c r="O110" s="33">
        <f t="shared" si="35"/>
        <v>136995.79047790961</v>
      </c>
      <c r="P110" s="35">
        <f t="shared" si="36"/>
        <v>0.4173227885435683</v>
      </c>
      <c r="Q110" s="35">
        <f t="shared" si="37"/>
        <v>6.9263061214833582E-2</v>
      </c>
      <c r="R110" s="35">
        <f t="shared" si="38"/>
        <v>2.4040591613491364E-3</v>
      </c>
      <c r="S110" s="35">
        <f t="shared" si="39"/>
        <v>-0.4173227885435683</v>
      </c>
      <c r="T110" s="35">
        <f t="shared" si="40"/>
        <v>6.9263061214833499E-2</v>
      </c>
      <c r="U110" s="35">
        <f t="shared" si="41"/>
        <v>-2.4040591613491147E-3</v>
      </c>
    </row>
    <row r="111" spans="1:21" x14ac:dyDescent="0.25">
      <c r="A111" s="26">
        <f t="shared" si="21"/>
        <v>13</v>
      </c>
      <c r="B111" s="26">
        <f t="shared" si="22"/>
        <v>7</v>
      </c>
      <c r="C111" s="26">
        <f t="shared" si="23"/>
        <v>27</v>
      </c>
      <c r="D111" s="26">
        <f t="shared" si="24"/>
        <v>1</v>
      </c>
      <c r="E111" s="26">
        <f t="shared" si="25"/>
        <v>5</v>
      </c>
      <c r="F111" s="26">
        <f t="shared" si="26"/>
        <v>37</v>
      </c>
      <c r="G111" s="29">
        <f t="shared" si="27"/>
        <v>44593</v>
      </c>
      <c r="H111" s="26">
        <f t="shared" si="28"/>
        <v>44</v>
      </c>
      <c r="I111" s="29">
        <f t="shared" si="29"/>
        <v>44774</v>
      </c>
      <c r="J111" s="33">
        <f t="shared" si="30"/>
        <v>142612.7901010513</v>
      </c>
      <c r="K111" s="33">
        <f t="shared" si="31"/>
        <v>80303.24014878273</v>
      </c>
      <c r="L111" s="19">
        <f t="shared" si="32"/>
        <v>1.8350864598636962</v>
      </c>
      <c r="M111" s="19">
        <f t="shared" si="33"/>
        <v>1.8350864598636962</v>
      </c>
      <c r="N111" s="33">
        <f t="shared" si="34"/>
        <v>147363.38868021395</v>
      </c>
      <c r="O111" s="33">
        <f t="shared" si="35"/>
        <v>134165.8977753084</v>
      </c>
      <c r="P111" s="35">
        <f t="shared" si="36"/>
        <v>0.43691417795078424</v>
      </c>
      <c r="Q111" s="35">
        <f t="shared" si="37"/>
        <v>3.3311167783734601E-2</v>
      </c>
      <c r="R111" s="35">
        <f t="shared" si="38"/>
        <v>5.922955661801213E-2</v>
      </c>
      <c r="S111" s="35">
        <f t="shared" si="39"/>
        <v>-0.43691417795078424</v>
      </c>
      <c r="T111" s="35">
        <f t="shared" si="40"/>
        <v>3.3311167783734552E-2</v>
      </c>
      <c r="U111" s="35">
        <f t="shared" si="41"/>
        <v>-5.9229556618012102E-2</v>
      </c>
    </row>
    <row r="112" spans="1:21" x14ac:dyDescent="0.25">
      <c r="A112" s="37">
        <f t="shared" si="21"/>
        <v>13</v>
      </c>
      <c r="B112" s="37">
        <f t="shared" si="22"/>
        <v>8</v>
      </c>
      <c r="C112" s="37">
        <f t="shared" si="23"/>
        <v>27</v>
      </c>
      <c r="D112" s="37">
        <f t="shared" si="24"/>
        <v>1</v>
      </c>
      <c r="E112" s="37">
        <f t="shared" si="25"/>
        <v>5</v>
      </c>
      <c r="F112" s="37">
        <f t="shared" si="26"/>
        <v>37</v>
      </c>
      <c r="G112" s="38">
        <f t="shared" si="27"/>
        <v>44593</v>
      </c>
      <c r="H112" s="37">
        <f t="shared" si="28"/>
        <v>45</v>
      </c>
      <c r="I112" s="38">
        <f t="shared" si="29"/>
        <v>44805</v>
      </c>
      <c r="J112" s="39">
        <f t="shared" si="30"/>
        <v>137519.58025622371</v>
      </c>
      <c r="K112" s="39">
        <f t="shared" si="31"/>
        <v>84924.860115528107</v>
      </c>
      <c r="L112" s="40">
        <f t="shared" si="32"/>
        <v>1.8350864598636962</v>
      </c>
      <c r="M112" s="40">
        <f t="shared" si="33"/>
        <v>1.8350864598636962</v>
      </c>
      <c r="N112" s="39">
        <f t="shared" si="34"/>
        <v>155844.46090382407</v>
      </c>
      <c r="O112" s="39">
        <f t="shared" si="35"/>
        <v>127095.27908764681</v>
      </c>
      <c r="P112" s="41">
        <f t="shared" si="36"/>
        <v>0.38245259360668626</v>
      </c>
      <c r="Q112" s="41">
        <f t="shared" si="37"/>
        <v>0.13325288379631336</v>
      </c>
      <c r="R112" s="41">
        <f t="shared" si="38"/>
        <v>7.5802305018343966E-2</v>
      </c>
      <c r="S112" s="41">
        <f t="shared" si="39"/>
        <v>-0.38245259360668626</v>
      </c>
      <c r="T112" s="41">
        <f t="shared" si="40"/>
        <v>0.13325288379631339</v>
      </c>
      <c r="U112" s="41">
        <f t="shared" si="41"/>
        <v>-7.5802305018343952E-2</v>
      </c>
    </row>
    <row r="113" spans="1:21" x14ac:dyDescent="0.25">
      <c r="A113" s="26">
        <f t="shared" si="21"/>
        <v>14</v>
      </c>
      <c r="B113" s="26">
        <f t="shared" si="22"/>
        <v>1</v>
      </c>
      <c r="C113" s="26">
        <f t="shared" si="23"/>
        <v>26</v>
      </c>
      <c r="D113" s="26">
        <f t="shared" si="24"/>
        <v>1</v>
      </c>
      <c r="E113" s="26">
        <f t="shared" si="25"/>
        <v>6</v>
      </c>
      <c r="F113" s="26">
        <f t="shared" si="26"/>
        <v>38</v>
      </c>
      <c r="G113" s="29">
        <f t="shared" si="27"/>
        <v>44621</v>
      </c>
      <c r="H113" s="26">
        <f t="shared" si="28"/>
        <v>39</v>
      </c>
      <c r="I113" s="29">
        <f t="shared" si="29"/>
        <v>44621</v>
      </c>
      <c r="J113" s="33">
        <f t="shared" si="30"/>
        <v>119287.8302438259</v>
      </c>
      <c r="K113" s="33">
        <f t="shared" si="31"/>
        <v>60978.700088500977</v>
      </c>
      <c r="L113" s="19">
        <f t="shared" si="32"/>
        <v>1.7297931456069833</v>
      </c>
      <c r="M113" s="19">
        <f t="shared" si="33"/>
        <v>1.7297931456069833</v>
      </c>
      <c r="N113" s="33">
        <f t="shared" si="34"/>
        <v>105480.53744111293</v>
      </c>
      <c r="O113" s="33">
        <f t="shared" si="35"/>
        <v>131196.46270587429</v>
      </c>
      <c r="P113" s="35">
        <f t="shared" si="36"/>
        <v>0.48881038439663366</v>
      </c>
      <c r="Q113" s="35">
        <f t="shared" si="37"/>
        <v>0.11574770682382837</v>
      </c>
      <c r="R113" s="35">
        <f t="shared" si="38"/>
        <v>9.983107612660061E-2</v>
      </c>
      <c r="S113" s="35">
        <f t="shared" si="39"/>
        <v>-0.48881038439663371</v>
      </c>
      <c r="T113" s="35">
        <f t="shared" si="40"/>
        <v>-0.1157477068238284</v>
      </c>
      <c r="U113" s="35">
        <f t="shared" si="41"/>
        <v>9.9831076126600582E-2</v>
      </c>
    </row>
    <row r="114" spans="1:21" x14ac:dyDescent="0.25">
      <c r="A114" s="26">
        <f t="shared" si="21"/>
        <v>14</v>
      </c>
      <c r="B114" s="26">
        <f t="shared" si="22"/>
        <v>2</v>
      </c>
      <c r="C114" s="26">
        <f t="shared" si="23"/>
        <v>26</v>
      </c>
      <c r="D114" s="26">
        <f t="shared" si="24"/>
        <v>1</v>
      </c>
      <c r="E114" s="26">
        <f t="shared" si="25"/>
        <v>6</v>
      </c>
      <c r="F114" s="26">
        <f t="shared" si="26"/>
        <v>38</v>
      </c>
      <c r="G114" s="29">
        <f t="shared" si="27"/>
        <v>44621</v>
      </c>
      <c r="H114" s="26">
        <f t="shared" si="28"/>
        <v>40</v>
      </c>
      <c r="I114" s="29">
        <f t="shared" si="29"/>
        <v>44652</v>
      </c>
      <c r="J114" s="33">
        <f t="shared" si="30"/>
        <v>113637.6201777458</v>
      </c>
      <c r="K114" s="33">
        <f t="shared" si="31"/>
        <v>70861.690135478973</v>
      </c>
      <c r="L114" s="19">
        <f t="shared" si="32"/>
        <v>1.7297931456069833</v>
      </c>
      <c r="M114" s="19">
        <f t="shared" si="33"/>
        <v>1.7297931456069833</v>
      </c>
      <c r="N114" s="33">
        <f t="shared" si="34"/>
        <v>122576.06588247752</v>
      </c>
      <c r="O114" s="33">
        <f t="shared" si="35"/>
        <v>121432.292301391</v>
      </c>
      <c r="P114" s="35">
        <f t="shared" si="36"/>
        <v>0.37642402203917191</v>
      </c>
      <c r="Q114" s="35">
        <f t="shared" si="37"/>
        <v>7.8657452441811784E-2</v>
      </c>
      <c r="R114" s="35">
        <f t="shared" si="38"/>
        <v>6.859235622369772E-2</v>
      </c>
      <c r="S114" s="35">
        <f t="shared" si="39"/>
        <v>-0.37642402203917191</v>
      </c>
      <c r="T114" s="35">
        <f t="shared" si="40"/>
        <v>7.865745244181177E-2</v>
      </c>
      <c r="U114" s="35">
        <f t="shared" si="41"/>
        <v>6.8592356223697637E-2</v>
      </c>
    </row>
    <row r="115" spans="1:21" x14ac:dyDescent="0.25">
      <c r="A115" s="26">
        <f t="shared" si="21"/>
        <v>14</v>
      </c>
      <c r="B115" s="26">
        <f t="shared" si="22"/>
        <v>3</v>
      </c>
      <c r="C115" s="26">
        <f t="shared" si="23"/>
        <v>26</v>
      </c>
      <c r="D115" s="26">
        <f t="shared" si="24"/>
        <v>1</v>
      </c>
      <c r="E115" s="26">
        <f t="shared" si="25"/>
        <v>6</v>
      </c>
      <c r="F115" s="26">
        <f t="shared" si="26"/>
        <v>38</v>
      </c>
      <c r="G115" s="29">
        <f t="shared" si="27"/>
        <v>44621</v>
      </c>
      <c r="H115" s="26">
        <f t="shared" si="28"/>
        <v>41</v>
      </c>
      <c r="I115" s="29">
        <f t="shared" si="29"/>
        <v>44682</v>
      </c>
      <c r="J115" s="33">
        <f t="shared" si="30"/>
        <v>119652.1701276302</v>
      </c>
      <c r="K115" s="33">
        <f t="shared" si="31"/>
        <v>74001.790117025375</v>
      </c>
      <c r="L115" s="19">
        <f t="shared" si="32"/>
        <v>1.7297931456069833</v>
      </c>
      <c r="M115" s="19">
        <f t="shared" si="33"/>
        <v>1.7297931456069833</v>
      </c>
      <c r="N115" s="33">
        <f t="shared" si="34"/>
        <v>128007.7893070771</v>
      </c>
      <c r="O115" s="33">
        <f t="shared" si="35"/>
        <v>109697.859498342</v>
      </c>
      <c r="P115" s="35">
        <f t="shared" si="36"/>
        <v>0.38152571710074812</v>
      </c>
      <c r="Q115" s="35">
        <f t="shared" si="37"/>
        <v>6.9832575293320168E-2</v>
      </c>
      <c r="R115" s="35">
        <f t="shared" si="38"/>
        <v>8.3193732455250635E-2</v>
      </c>
      <c r="S115" s="35">
        <f t="shared" si="39"/>
        <v>-0.38152571710074812</v>
      </c>
      <c r="T115" s="35">
        <f t="shared" si="40"/>
        <v>6.9832575293320209E-2</v>
      </c>
      <c r="U115" s="35">
        <f t="shared" si="41"/>
        <v>-8.3193732455250635E-2</v>
      </c>
    </row>
    <row r="116" spans="1:21" x14ac:dyDescent="0.25">
      <c r="A116" s="26">
        <f t="shared" si="21"/>
        <v>14</v>
      </c>
      <c r="B116" s="26">
        <f t="shared" si="22"/>
        <v>4</v>
      </c>
      <c r="C116" s="26">
        <f t="shared" si="23"/>
        <v>26</v>
      </c>
      <c r="D116" s="26">
        <f t="shared" si="24"/>
        <v>1</v>
      </c>
      <c r="E116" s="26">
        <f t="shared" si="25"/>
        <v>6</v>
      </c>
      <c r="F116" s="26">
        <f t="shared" si="26"/>
        <v>38</v>
      </c>
      <c r="G116" s="29">
        <f t="shared" si="27"/>
        <v>44621</v>
      </c>
      <c r="H116" s="26">
        <f t="shared" si="28"/>
        <v>42</v>
      </c>
      <c r="I116" s="29">
        <f t="shared" si="29"/>
        <v>44713</v>
      </c>
      <c r="J116" s="33">
        <f t="shared" si="30"/>
        <v>133353.570147872</v>
      </c>
      <c r="K116" s="33">
        <f t="shared" si="31"/>
        <v>74855.450057983398</v>
      </c>
      <c r="L116" s="19">
        <f t="shared" si="32"/>
        <v>1.7297931456069833</v>
      </c>
      <c r="M116" s="19">
        <f t="shared" si="33"/>
        <v>1.7297931456069833</v>
      </c>
      <c r="N116" s="33">
        <f t="shared" si="34"/>
        <v>129484.44442162554</v>
      </c>
      <c r="O116" s="33">
        <f t="shared" si="35"/>
        <v>100369.6632788194</v>
      </c>
      <c r="P116" s="35">
        <f t="shared" si="36"/>
        <v>0.43866932115144491</v>
      </c>
      <c r="Q116" s="35">
        <f t="shared" si="37"/>
        <v>2.9014039308854649E-2</v>
      </c>
      <c r="R116" s="35">
        <f t="shared" si="38"/>
        <v>0.24734176094781476</v>
      </c>
      <c r="S116" s="35">
        <f t="shared" si="39"/>
        <v>-0.43866932115144497</v>
      </c>
      <c r="T116" s="35">
        <f t="shared" si="40"/>
        <v>-2.90140393088546E-2</v>
      </c>
      <c r="U116" s="35">
        <f t="shared" si="41"/>
        <v>-0.24734176094781479</v>
      </c>
    </row>
    <row r="117" spans="1:21" x14ac:dyDescent="0.25">
      <c r="A117" s="26">
        <f t="shared" si="21"/>
        <v>14</v>
      </c>
      <c r="B117" s="26">
        <f t="shared" si="22"/>
        <v>5</v>
      </c>
      <c r="C117" s="26">
        <f t="shared" si="23"/>
        <v>26</v>
      </c>
      <c r="D117" s="26">
        <f t="shared" si="24"/>
        <v>1</v>
      </c>
      <c r="E117" s="26">
        <f t="shared" si="25"/>
        <v>6</v>
      </c>
      <c r="F117" s="26">
        <f t="shared" si="26"/>
        <v>38</v>
      </c>
      <c r="G117" s="29">
        <f t="shared" si="27"/>
        <v>44621</v>
      </c>
      <c r="H117" s="26">
        <f t="shared" si="28"/>
        <v>43</v>
      </c>
      <c r="I117" s="29">
        <f t="shared" si="29"/>
        <v>44743</v>
      </c>
      <c r="J117" s="33">
        <f t="shared" si="30"/>
        <v>137325.9301383495</v>
      </c>
      <c r="K117" s="33">
        <f t="shared" si="31"/>
        <v>80016.69003367424</v>
      </c>
      <c r="L117" s="19">
        <f t="shared" si="32"/>
        <v>1.7297931456069833</v>
      </c>
      <c r="M117" s="19">
        <f t="shared" si="33"/>
        <v>1.7297931456069833</v>
      </c>
      <c r="N117" s="33">
        <f t="shared" si="34"/>
        <v>138412.32195440831</v>
      </c>
      <c r="O117" s="33">
        <f t="shared" si="35"/>
        <v>102003.79427661181</v>
      </c>
      <c r="P117" s="35">
        <f t="shared" si="36"/>
        <v>0.4173227885435683</v>
      </c>
      <c r="Q117" s="35">
        <f t="shared" si="37"/>
        <v>7.9110464787263256E-3</v>
      </c>
      <c r="R117" s="35">
        <f t="shared" si="38"/>
        <v>0.25721388397771844</v>
      </c>
      <c r="S117" s="35">
        <f t="shared" si="39"/>
        <v>-0.4173227885435683</v>
      </c>
      <c r="T117" s="35">
        <f t="shared" si="40"/>
        <v>7.9110464787264245E-3</v>
      </c>
      <c r="U117" s="35">
        <f t="shared" si="41"/>
        <v>-0.25721388397771849</v>
      </c>
    </row>
    <row r="118" spans="1:21" x14ac:dyDescent="0.25">
      <c r="A118" s="26">
        <f t="shared" si="21"/>
        <v>14</v>
      </c>
      <c r="B118" s="26">
        <f t="shared" si="22"/>
        <v>6</v>
      </c>
      <c r="C118" s="26">
        <f t="shared" si="23"/>
        <v>26</v>
      </c>
      <c r="D118" s="26">
        <f t="shared" si="24"/>
        <v>1</v>
      </c>
      <c r="E118" s="26">
        <f t="shared" si="25"/>
        <v>6</v>
      </c>
      <c r="F118" s="26">
        <f t="shared" si="26"/>
        <v>38</v>
      </c>
      <c r="G118" s="29">
        <f t="shared" si="27"/>
        <v>44621</v>
      </c>
      <c r="H118" s="26">
        <f t="shared" si="28"/>
        <v>44</v>
      </c>
      <c r="I118" s="29">
        <f t="shared" si="29"/>
        <v>44774</v>
      </c>
      <c r="J118" s="33">
        <f t="shared" si="30"/>
        <v>142612.7901010513</v>
      </c>
      <c r="K118" s="33">
        <f t="shared" si="31"/>
        <v>80303.24014878273</v>
      </c>
      <c r="L118" s="19">
        <f t="shared" si="32"/>
        <v>1.7297931456069833</v>
      </c>
      <c r="M118" s="19">
        <f t="shared" si="33"/>
        <v>1.7297931456069833</v>
      </c>
      <c r="N118" s="33">
        <f t="shared" si="34"/>
        <v>138907.99437939588</v>
      </c>
      <c r="O118" s="33">
        <f t="shared" si="35"/>
        <v>96258.253949615391</v>
      </c>
      <c r="P118" s="35">
        <f t="shared" si="36"/>
        <v>0.43691417795078424</v>
      </c>
      <c r="Q118" s="35">
        <f t="shared" si="37"/>
        <v>2.5978004630792997E-2</v>
      </c>
      <c r="R118" s="35">
        <f t="shared" si="38"/>
        <v>0.3250377200992311</v>
      </c>
      <c r="S118" s="35">
        <f t="shared" si="39"/>
        <v>-0.43691417795078424</v>
      </c>
      <c r="T118" s="35">
        <f t="shared" si="40"/>
        <v>-2.5978004630793028E-2</v>
      </c>
      <c r="U118" s="35">
        <f t="shared" si="41"/>
        <v>-0.32503772009923115</v>
      </c>
    </row>
    <row r="119" spans="1:21" x14ac:dyDescent="0.25">
      <c r="A119" s="26">
        <f t="shared" si="21"/>
        <v>14</v>
      </c>
      <c r="B119" s="26">
        <f t="shared" si="22"/>
        <v>7</v>
      </c>
      <c r="C119" s="26">
        <f t="shared" si="23"/>
        <v>26</v>
      </c>
      <c r="D119" s="26">
        <f t="shared" si="24"/>
        <v>1</v>
      </c>
      <c r="E119" s="26">
        <f t="shared" si="25"/>
        <v>6</v>
      </c>
      <c r="F119" s="26">
        <f t="shared" si="26"/>
        <v>38</v>
      </c>
      <c r="G119" s="29">
        <f t="shared" si="27"/>
        <v>44621</v>
      </c>
      <c r="H119" s="26">
        <f t="shared" si="28"/>
        <v>45</v>
      </c>
      <c r="I119" s="29">
        <f t="shared" si="29"/>
        <v>44805</v>
      </c>
      <c r="J119" s="33">
        <f t="shared" si="30"/>
        <v>137519.58025622371</v>
      </c>
      <c r="K119" s="33">
        <f t="shared" si="31"/>
        <v>84924.860115528107</v>
      </c>
      <c r="L119" s="19">
        <f t="shared" si="32"/>
        <v>1.7297931456069833</v>
      </c>
      <c r="M119" s="19">
        <f t="shared" si="33"/>
        <v>1.7297931456069833</v>
      </c>
      <c r="N119" s="33">
        <f t="shared" si="34"/>
        <v>146902.4409194724</v>
      </c>
      <c r="O119" s="33">
        <f t="shared" si="35"/>
        <v>88127.878932089865</v>
      </c>
      <c r="P119" s="35">
        <f t="shared" si="36"/>
        <v>0.38245259360668626</v>
      </c>
      <c r="Q119" s="35">
        <f t="shared" si="37"/>
        <v>6.8229270666524247E-2</v>
      </c>
      <c r="R119" s="35">
        <f t="shared" si="38"/>
        <v>0.35916122803827805</v>
      </c>
      <c r="S119" s="35">
        <f t="shared" si="39"/>
        <v>-0.38245259360668626</v>
      </c>
      <c r="T119" s="35">
        <f t="shared" si="40"/>
        <v>6.8229270666524178E-2</v>
      </c>
      <c r="U119" s="35">
        <f t="shared" si="41"/>
        <v>-0.3591612280382781</v>
      </c>
    </row>
    <row r="120" spans="1:21" x14ac:dyDescent="0.25">
      <c r="A120" s="37">
        <f t="shared" si="21"/>
        <v>14</v>
      </c>
      <c r="B120" s="37">
        <f t="shared" si="22"/>
        <v>8</v>
      </c>
      <c r="C120" s="37">
        <f t="shared" si="23"/>
        <v>26</v>
      </c>
      <c r="D120" s="37">
        <f t="shared" si="24"/>
        <v>1</v>
      </c>
      <c r="E120" s="37">
        <f t="shared" si="25"/>
        <v>6</v>
      </c>
      <c r="F120" s="37">
        <f t="shared" si="26"/>
        <v>38</v>
      </c>
      <c r="G120" s="38">
        <f t="shared" si="27"/>
        <v>44621</v>
      </c>
      <c r="H120" s="37">
        <f t="shared" si="28"/>
        <v>46</v>
      </c>
      <c r="I120" s="38">
        <f t="shared" si="29"/>
        <v>44835</v>
      </c>
      <c r="J120" s="39">
        <f t="shared" si="30"/>
        <v>152485.03018927571</v>
      </c>
      <c r="K120" s="39">
        <f t="shared" si="31"/>
        <v>91275.620025634766</v>
      </c>
      <c r="L120" s="40">
        <f t="shared" si="32"/>
        <v>1.7297931456069833</v>
      </c>
      <c r="M120" s="40">
        <f t="shared" si="33"/>
        <v>1.7297931456069833</v>
      </c>
      <c r="N120" s="39">
        <f t="shared" si="34"/>
        <v>157887.94188137053</v>
      </c>
      <c r="O120" s="39">
        <f t="shared" si="35"/>
        <v>93399.416495698708</v>
      </c>
      <c r="P120" s="41">
        <f t="shared" si="36"/>
        <v>0.40141258514139583</v>
      </c>
      <c r="Q120" s="41">
        <f t="shared" si="37"/>
        <v>3.5432407269017294E-2</v>
      </c>
      <c r="R120" s="41">
        <f t="shared" si="38"/>
        <v>0.38748468371115224</v>
      </c>
      <c r="S120" s="41">
        <f t="shared" si="39"/>
        <v>-0.40141258514139577</v>
      </c>
      <c r="T120" s="41">
        <f t="shared" si="40"/>
        <v>3.5432407269017308E-2</v>
      </c>
      <c r="U120" s="41">
        <f t="shared" si="41"/>
        <v>-0.3874846837111523</v>
      </c>
    </row>
    <row r="121" spans="1:21" x14ac:dyDescent="0.25">
      <c r="A121" s="26">
        <f t="shared" si="21"/>
        <v>15</v>
      </c>
      <c r="B121" s="26">
        <f t="shared" si="22"/>
        <v>1</v>
      </c>
      <c r="C121" s="26">
        <f t="shared" si="23"/>
        <v>25</v>
      </c>
      <c r="D121" s="26">
        <f t="shared" si="24"/>
        <v>1</v>
      </c>
      <c r="E121" s="26">
        <f t="shared" si="25"/>
        <v>7</v>
      </c>
      <c r="F121" s="26">
        <f t="shared" si="26"/>
        <v>39</v>
      </c>
      <c r="G121" s="29">
        <f t="shared" si="27"/>
        <v>44652</v>
      </c>
      <c r="H121" s="26">
        <f t="shared" si="28"/>
        <v>40</v>
      </c>
      <c r="I121" s="29">
        <f t="shared" si="29"/>
        <v>44652</v>
      </c>
      <c r="J121" s="33">
        <f t="shared" si="30"/>
        <v>113637.6201777458</v>
      </c>
      <c r="K121" s="33">
        <f t="shared" si="31"/>
        <v>70861.690135478973</v>
      </c>
      <c r="L121" s="19">
        <f t="shared" si="32"/>
        <v>1.9562212718653957</v>
      </c>
      <c r="M121" s="19">
        <f t="shared" si="33"/>
        <v>1.9562212718653957</v>
      </c>
      <c r="N121" s="33">
        <f t="shared" si="34"/>
        <v>138621.14560335825</v>
      </c>
      <c r="O121" s="33">
        <f t="shared" si="35"/>
        <v>105193.8901772683</v>
      </c>
      <c r="P121" s="35">
        <f t="shared" si="36"/>
        <v>0.37642402203917191</v>
      </c>
      <c r="Q121" s="35">
        <f t="shared" si="37"/>
        <v>0.21985259271123919</v>
      </c>
      <c r="R121" s="35">
        <f t="shared" si="38"/>
        <v>7.43040023829281E-2</v>
      </c>
      <c r="S121" s="35">
        <f t="shared" si="39"/>
        <v>-0.37642402203917191</v>
      </c>
      <c r="T121" s="35">
        <f t="shared" si="40"/>
        <v>0.21985259271123914</v>
      </c>
      <c r="U121" s="35">
        <f t="shared" si="41"/>
        <v>-7.4304002382928114E-2</v>
      </c>
    </row>
    <row r="122" spans="1:21" x14ac:dyDescent="0.25">
      <c r="A122" s="26">
        <f t="shared" si="21"/>
        <v>15</v>
      </c>
      <c r="B122" s="26">
        <f t="shared" si="22"/>
        <v>2</v>
      </c>
      <c r="C122" s="26">
        <f t="shared" si="23"/>
        <v>25</v>
      </c>
      <c r="D122" s="26">
        <f t="shared" si="24"/>
        <v>1</v>
      </c>
      <c r="E122" s="26">
        <f t="shared" si="25"/>
        <v>7</v>
      </c>
      <c r="F122" s="26">
        <f t="shared" si="26"/>
        <v>39</v>
      </c>
      <c r="G122" s="29">
        <f t="shared" si="27"/>
        <v>44652</v>
      </c>
      <c r="H122" s="26">
        <f t="shared" si="28"/>
        <v>41</v>
      </c>
      <c r="I122" s="29">
        <f t="shared" si="29"/>
        <v>44682</v>
      </c>
      <c r="J122" s="33">
        <f t="shared" si="30"/>
        <v>119652.1701276302</v>
      </c>
      <c r="K122" s="33">
        <f t="shared" si="31"/>
        <v>74001.790117025375</v>
      </c>
      <c r="L122" s="19">
        <f t="shared" si="32"/>
        <v>1.9562212718653957</v>
      </c>
      <c r="M122" s="19">
        <f t="shared" si="33"/>
        <v>1.9562212718653957</v>
      </c>
      <c r="N122" s="33">
        <f t="shared" si="34"/>
        <v>144763.87598304346</v>
      </c>
      <c r="O122" s="33">
        <f t="shared" si="35"/>
        <v>89311.668039742464</v>
      </c>
      <c r="P122" s="35">
        <f t="shared" si="36"/>
        <v>0.38152571710074812</v>
      </c>
      <c r="Q122" s="35">
        <f t="shared" si="37"/>
        <v>0.20987254830921309</v>
      </c>
      <c r="R122" s="35">
        <f t="shared" si="38"/>
        <v>0.25357251820442728</v>
      </c>
      <c r="S122" s="35">
        <f t="shared" si="39"/>
        <v>-0.38152571710074812</v>
      </c>
      <c r="T122" s="35">
        <f t="shared" si="40"/>
        <v>0.20987254830921298</v>
      </c>
      <c r="U122" s="35">
        <f t="shared" si="41"/>
        <v>-0.25357251820442728</v>
      </c>
    </row>
    <row r="123" spans="1:21" x14ac:dyDescent="0.25">
      <c r="A123" s="26">
        <f t="shared" si="21"/>
        <v>15</v>
      </c>
      <c r="B123" s="26">
        <f t="shared" si="22"/>
        <v>3</v>
      </c>
      <c r="C123" s="26">
        <f t="shared" si="23"/>
        <v>25</v>
      </c>
      <c r="D123" s="26">
        <f t="shared" si="24"/>
        <v>1</v>
      </c>
      <c r="E123" s="26">
        <f t="shared" si="25"/>
        <v>7</v>
      </c>
      <c r="F123" s="26">
        <f t="shared" si="26"/>
        <v>39</v>
      </c>
      <c r="G123" s="29">
        <f t="shared" si="27"/>
        <v>44652</v>
      </c>
      <c r="H123" s="26">
        <f t="shared" si="28"/>
        <v>42</v>
      </c>
      <c r="I123" s="29">
        <f t="shared" si="29"/>
        <v>44713</v>
      </c>
      <c r="J123" s="33">
        <f t="shared" si="30"/>
        <v>133353.570147872</v>
      </c>
      <c r="K123" s="33">
        <f t="shared" si="31"/>
        <v>74855.450057983398</v>
      </c>
      <c r="L123" s="19">
        <f t="shared" si="32"/>
        <v>1.9562212718653957</v>
      </c>
      <c r="M123" s="19">
        <f t="shared" si="33"/>
        <v>1.9562212718653957</v>
      </c>
      <c r="N123" s="33">
        <f t="shared" si="34"/>
        <v>146433.8237184849</v>
      </c>
      <c r="O123" s="33">
        <f t="shared" si="35"/>
        <v>76960.215418944485</v>
      </c>
      <c r="P123" s="35">
        <f t="shared" si="36"/>
        <v>0.43866932115144491</v>
      </c>
      <c r="Q123" s="35">
        <f t="shared" si="37"/>
        <v>9.808701451418643E-2</v>
      </c>
      <c r="R123" s="35">
        <f t="shared" si="38"/>
        <v>0.42288597647887882</v>
      </c>
      <c r="S123" s="35">
        <f t="shared" si="39"/>
        <v>-0.43866932115144497</v>
      </c>
      <c r="T123" s="35">
        <f t="shared" si="40"/>
        <v>9.8087014514186333E-2</v>
      </c>
      <c r="U123" s="35">
        <f t="shared" si="41"/>
        <v>-0.42288597647887882</v>
      </c>
    </row>
    <row r="124" spans="1:21" x14ac:dyDescent="0.25">
      <c r="A124" s="26">
        <f t="shared" si="21"/>
        <v>15</v>
      </c>
      <c r="B124" s="26">
        <f t="shared" si="22"/>
        <v>4</v>
      </c>
      <c r="C124" s="26">
        <f t="shared" si="23"/>
        <v>25</v>
      </c>
      <c r="D124" s="26">
        <f t="shared" si="24"/>
        <v>1</v>
      </c>
      <c r="E124" s="26">
        <f t="shared" si="25"/>
        <v>7</v>
      </c>
      <c r="F124" s="26">
        <f t="shared" si="26"/>
        <v>39</v>
      </c>
      <c r="G124" s="29">
        <f t="shared" si="27"/>
        <v>44652</v>
      </c>
      <c r="H124" s="26">
        <f t="shared" si="28"/>
        <v>43</v>
      </c>
      <c r="I124" s="29">
        <f t="shared" si="29"/>
        <v>44743</v>
      </c>
      <c r="J124" s="33">
        <f t="shared" si="30"/>
        <v>137325.9301383495</v>
      </c>
      <c r="K124" s="33">
        <f t="shared" si="31"/>
        <v>80016.69003367424</v>
      </c>
      <c r="L124" s="19">
        <f t="shared" si="32"/>
        <v>1.9562212718653957</v>
      </c>
      <c r="M124" s="19">
        <f t="shared" si="33"/>
        <v>1.9562212718653957</v>
      </c>
      <c r="N124" s="33">
        <f t="shared" si="34"/>
        <v>156530.35114813337</v>
      </c>
      <c r="O124" s="33">
        <f t="shared" si="35"/>
        <v>73813.715710273827</v>
      </c>
      <c r="P124" s="35">
        <f t="shared" si="36"/>
        <v>0.4173227885435683</v>
      </c>
      <c r="Q124" s="35">
        <f t="shared" si="37"/>
        <v>0.13984555568228305</v>
      </c>
      <c r="R124" s="35">
        <f t="shared" si="38"/>
        <v>0.46249251225962984</v>
      </c>
      <c r="S124" s="35">
        <f t="shared" si="39"/>
        <v>-0.4173227885435683</v>
      </c>
      <c r="T124" s="35">
        <f t="shared" si="40"/>
        <v>0.13984555568228307</v>
      </c>
      <c r="U124" s="35">
        <f t="shared" si="41"/>
        <v>-0.46249251225962984</v>
      </c>
    </row>
    <row r="125" spans="1:21" x14ac:dyDescent="0.25">
      <c r="A125" s="26">
        <f t="shared" si="21"/>
        <v>15</v>
      </c>
      <c r="B125" s="26">
        <f t="shared" si="22"/>
        <v>5</v>
      </c>
      <c r="C125" s="26">
        <f t="shared" si="23"/>
        <v>25</v>
      </c>
      <c r="D125" s="26">
        <f t="shared" si="24"/>
        <v>1</v>
      </c>
      <c r="E125" s="26">
        <f t="shared" si="25"/>
        <v>7</v>
      </c>
      <c r="F125" s="26">
        <f t="shared" si="26"/>
        <v>39</v>
      </c>
      <c r="G125" s="29">
        <f t="shared" si="27"/>
        <v>44652</v>
      </c>
      <c r="H125" s="26">
        <f t="shared" si="28"/>
        <v>44</v>
      </c>
      <c r="I125" s="29">
        <f t="shared" si="29"/>
        <v>44774</v>
      </c>
      <c r="J125" s="33">
        <f t="shared" si="30"/>
        <v>142612.7901010513</v>
      </c>
      <c r="K125" s="33">
        <f t="shared" si="31"/>
        <v>80303.24014878273</v>
      </c>
      <c r="L125" s="19">
        <f t="shared" si="32"/>
        <v>1.9562212718653957</v>
      </c>
      <c r="M125" s="19">
        <f t="shared" si="33"/>
        <v>1.9562212718653957</v>
      </c>
      <c r="N125" s="33">
        <f t="shared" si="34"/>
        <v>157090.90657876406</v>
      </c>
      <c r="O125" s="33">
        <f t="shared" si="35"/>
        <v>65874.543119802373</v>
      </c>
      <c r="P125" s="35">
        <f t="shared" si="36"/>
        <v>0.43691417795078424</v>
      </c>
      <c r="Q125" s="35">
        <f t="shared" si="37"/>
        <v>0.10152046297848868</v>
      </c>
      <c r="R125" s="35">
        <f t="shared" si="38"/>
        <v>0.53808811206115825</v>
      </c>
      <c r="S125" s="35">
        <f t="shared" si="39"/>
        <v>-0.43691417795078424</v>
      </c>
      <c r="T125" s="35">
        <f t="shared" si="40"/>
        <v>0.10152046297848871</v>
      </c>
      <c r="U125" s="35">
        <f t="shared" si="41"/>
        <v>-0.53808811206115825</v>
      </c>
    </row>
    <row r="126" spans="1:21" x14ac:dyDescent="0.25">
      <c r="A126" s="26">
        <f t="shared" si="21"/>
        <v>15</v>
      </c>
      <c r="B126" s="26">
        <f t="shared" si="22"/>
        <v>6</v>
      </c>
      <c r="C126" s="26">
        <f t="shared" si="23"/>
        <v>25</v>
      </c>
      <c r="D126" s="26">
        <f t="shared" si="24"/>
        <v>1</v>
      </c>
      <c r="E126" s="26">
        <f t="shared" si="25"/>
        <v>7</v>
      </c>
      <c r="F126" s="26">
        <f t="shared" si="26"/>
        <v>39</v>
      </c>
      <c r="G126" s="29">
        <f t="shared" si="27"/>
        <v>44652</v>
      </c>
      <c r="H126" s="26">
        <f t="shared" si="28"/>
        <v>45</v>
      </c>
      <c r="I126" s="29">
        <f t="shared" si="29"/>
        <v>44805</v>
      </c>
      <c r="J126" s="33">
        <f t="shared" si="30"/>
        <v>137519.58025622371</v>
      </c>
      <c r="K126" s="33">
        <f t="shared" si="31"/>
        <v>84924.860115528107</v>
      </c>
      <c r="L126" s="19">
        <f t="shared" si="32"/>
        <v>1.9562212718653957</v>
      </c>
      <c r="M126" s="19">
        <f t="shared" si="33"/>
        <v>1.9562212718653957</v>
      </c>
      <c r="N126" s="33">
        <f t="shared" si="34"/>
        <v>166131.81786818922</v>
      </c>
      <c r="O126" s="33">
        <f t="shared" si="35"/>
        <v>57155.037178508028</v>
      </c>
      <c r="P126" s="35">
        <f t="shared" si="36"/>
        <v>0.38245259360668626</v>
      </c>
      <c r="Q126" s="35">
        <f t="shared" si="37"/>
        <v>0.20805937277190467</v>
      </c>
      <c r="R126" s="35">
        <f t="shared" si="38"/>
        <v>0.58438618651963647</v>
      </c>
      <c r="S126" s="35">
        <f t="shared" si="39"/>
        <v>-0.38245259360668626</v>
      </c>
      <c r="T126" s="35">
        <f t="shared" si="40"/>
        <v>0.20805937277190467</v>
      </c>
      <c r="U126" s="35">
        <f t="shared" si="41"/>
        <v>-0.58438618651963659</v>
      </c>
    </row>
    <row r="127" spans="1:21" x14ac:dyDescent="0.25">
      <c r="A127" s="26">
        <f t="shared" si="21"/>
        <v>15</v>
      </c>
      <c r="B127" s="26">
        <f t="shared" si="22"/>
        <v>7</v>
      </c>
      <c r="C127" s="26">
        <f t="shared" si="23"/>
        <v>25</v>
      </c>
      <c r="D127" s="26">
        <f t="shared" si="24"/>
        <v>1</v>
      </c>
      <c r="E127" s="26">
        <f t="shared" si="25"/>
        <v>7</v>
      </c>
      <c r="F127" s="26">
        <f t="shared" si="26"/>
        <v>39</v>
      </c>
      <c r="G127" s="29">
        <f t="shared" si="27"/>
        <v>44652</v>
      </c>
      <c r="H127" s="26">
        <f t="shared" si="28"/>
        <v>46</v>
      </c>
      <c r="I127" s="29">
        <f t="shared" si="29"/>
        <v>44835</v>
      </c>
      <c r="J127" s="33">
        <f t="shared" si="30"/>
        <v>152485.03018927571</v>
      </c>
      <c r="K127" s="33">
        <f t="shared" si="31"/>
        <v>91275.620025634766</v>
      </c>
      <c r="L127" s="19">
        <f t="shared" si="32"/>
        <v>1.9562212718653957</v>
      </c>
      <c r="M127" s="19">
        <f t="shared" si="33"/>
        <v>1.9562212718653957</v>
      </c>
      <c r="N127" s="33">
        <f t="shared" si="34"/>
        <v>178555.30949684983</v>
      </c>
      <c r="O127" s="33">
        <f t="shared" si="35"/>
        <v>57523.508288632052</v>
      </c>
      <c r="P127" s="35">
        <f t="shared" si="36"/>
        <v>0.40141258514139583</v>
      </c>
      <c r="Q127" s="35">
        <f t="shared" si="37"/>
        <v>0.17096943401731801</v>
      </c>
      <c r="R127" s="35">
        <f t="shared" si="38"/>
        <v>0.62275963602965079</v>
      </c>
      <c r="S127" s="35">
        <f t="shared" si="39"/>
        <v>-0.40141258514139577</v>
      </c>
      <c r="T127" s="35">
        <f t="shared" si="40"/>
        <v>0.17096943401731801</v>
      </c>
      <c r="U127" s="35">
        <f t="shared" si="41"/>
        <v>-0.62275963602965079</v>
      </c>
    </row>
    <row r="128" spans="1:21" x14ac:dyDescent="0.25">
      <c r="A128" s="37">
        <f t="shared" si="21"/>
        <v>15</v>
      </c>
      <c r="B128" s="37">
        <f t="shared" si="22"/>
        <v>8</v>
      </c>
      <c r="C128" s="37">
        <f t="shared" si="23"/>
        <v>25</v>
      </c>
      <c r="D128" s="37">
        <f t="shared" si="24"/>
        <v>1</v>
      </c>
      <c r="E128" s="37">
        <f t="shared" si="25"/>
        <v>7</v>
      </c>
      <c r="F128" s="37">
        <f t="shared" si="26"/>
        <v>39</v>
      </c>
      <c r="G128" s="38">
        <f t="shared" si="27"/>
        <v>44652</v>
      </c>
      <c r="H128" s="37">
        <f t="shared" si="28"/>
        <v>47</v>
      </c>
      <c r="I128" s="38">
        <f t="shared" si="29"/>
        <v>44866</v>
      </c>
      <c r="J128" s="39">
        <f t="shared" si="30"/>
        <v>155504.0401403904</v>
      </c>
      <c r="K128" s="39">
        <f t="shared" si="31"/>
        <v>94327.220094442368</v>
      </c>
      <c r="L128" s="40">
        <f t="shared" si="32"/>
        <v>1.9562212718653957</v>
      </c>
      <c r="M128" s="40">
        <f t="shared" si="33"/>
        <v>1.9562212718653957</v>
      </c>
      <c r="N128" s="39">
        <f t="shared" si="34"/>
        <v>184524.91446467716</v>
      </c>
      <c r="O128" s="39">
        <f t="shared" si="35"/>
        <v>55959.996091326073</v>
      </c>
      <c r="P128" s="41">
        <f t="shared" si="36"/>
        <v>0.39340984318296207</v>
      </c>
      <c r="Q128" s="41">
        <f t="shared" si="37"/>
        <v>0.18662456806965572</v>
      </c>
      <c r="R128" s="41">
        <f t="shared" si="38"/>
        <v>0.64013799229393076</v>
      </c>
      <c r="S128" s="41">
        <f t="shared" si="39"/>
        <v>-0.39340984318296213</v>
      </c>
      <c r="T128" s="41">
        <f t="shared" si="40"/>
        <v>0.18662456806965566</v>
      </c>
      <c r="U128" s="41">
        <f t="shared" si="41"/>
        <v>-0.64013799229393076</v>
      </c>
    </row>
    <row r="129" spans="1:21" x14ac:dyDescent="0.25">
      <c r="A129" s="26">
        <f t="shared" si="21"/>
        <v>16</v>
      </c>
      <c r="B129" s="26">
        <f t="shared" si="22"/>
        <v>1</v>
      </c>
      <c r="C129" s="26">
        <f t="shared" si="23"/>
        <v>24</v>
      </c>
      <c r="D129" s="26">
        <f t="shared" si="24"/>
        <v>1</v>
      </c>
      <c r="E129" s="26">
        <f t="shared" si="25"/>
        <v>8</v>
      </c>
      <c r="F129" s="26">
        <f t="shared" si="26"/>
        <v>40</v>
      </c>
      <c r="G129" s="29">
        <f t="shared" si="27"/>
        <v>44682</v>
      </c>
      <c r="H129" s="26">
        <f t="shared" si="28"/>
        <v>41</v>
      </c>
      <c r="I129" s="29">
        <f t="shared" si="29"/>
        <v>44682</v>
      </c>
      <c r="J129" s="33">
        <f t="shared" si="30"/>
        <v>119652.1701276302</v>
      </c>
      <c r="K129" s="33">
        <f t="shared" si="31"/>
        <v>74001.790117025375</v>
      </c>
      <c r="L129" s="19">
        <f t="shared" si="32"/>
        <v>1.6036538214158373</v>
      </c>
      <c r="M129" s="19">
        <f t="shared" si="33"/>
        <v>1.6036538214158373</v>
      </c>
      <c r="N129" s="33">
        <f t="shared" si="34"/>
        <v>118673.25351278049</v>
      </c>
      <c r="O129" s="33">
        <f t="shared" si="35"/>
        <v>100215.4484049427</v>
      </c>
      <c r="P129" s="35">
        <f t="shared" si="36"/>
        <v>0.38152571710074812</v>
      </c>
      <c r="Q129" s="35">
        <f t="shared" si="37"/>
        <v>8.1813527811951028E-3</v>
      </c>
      <c r="R129" s="35">
        <f t="shared" si="38"/>
        <v>0.16244353697851702</v>
      </c>
      <c r="S129" s="35">
        <f t="shared" si="39"/>
        <v>-0.38152571710074812</v>
      </c>
      <c r="T129" s="35">
        <f t="shared" si="40"/>
        <v>-8.1813527811951392E-3</v>
      </c>
      <c r="U129" s="35">
        <f t="shared" si="41"/>
        <v>-0.16244353697851699</v>
      </c>
    </row>
    <row r="130" spans="1:21" x14ac:dyDescent="0.25">
      <c r="A130" s="26">
        <f t="shared" si="21"/>
        <v>16</v>
      </c>
      <c r="B130" s="26">
        <f t="shared" si="22"/>
        <v>2</v>
      </c>
      <c r="C130" s="26">
        <f t="shared" si="23"/>
        <v>24</v>
      </c>
      <c r="D130" s="26">
        <f t="shared" si="24"/>
        <v>1</v>
      </c>
      <c r="E130" s="26">
        <f t="shared" si="25"/>
        <v>8</v>
      </c>
      <c r="F130" s="26">
        <f t="shared" si="26"/>
        <v>40</v>
      </c>
      <c r="G130" s="29">
        <f t="shared" si="27"/>
        <v>44682</v>
      </c>
      <c r="H130" s="26">
        <f t="shared" si="28"/>
        <v>42</v>
      </c>
      <c r="I130" s="29">
        <f t="shared" si="29"/>
        <v>44713</v>
      </c>
      <c r="J130" s="33">
        <f t="shared" si="30"/>
        <v>133353.570147872</v>
      </c>
      <c r="K130" s="33">
        <f t="shared" si="31"/>
        <v>74855.450057983398</v>
      </c>
      <c r="L130" s="19">
        <f t="shared" si="32"/>
        <v>1.6036538214158373</v>
      </c>
      <c r="M130" s="19">
        <f t="shared" si="33"/>
        <v>1.6036538214158373</v>
      </c>
      <c r="N130" s="33">
        <f t="shared" si="34"/>
        <v>120042.22853928743</v>
      </c>
      <c r="O130" s="33">
        <f t="shared" si="35"/>
        <v>90805.332364806629</v>
      </c>
      <c r="P130" s="35">
        <f t="shared" si="36"/>
        <v>0.43866932115144491</v>
      </c>
      <c r="Q130" s="35">
        <f t="shared" si="37"/>
        <v>9.9819911786568571E-2</v>
      </c>
      <c r="R130" s="35">
        <f t="shared" si="38"/>
        <v>0.31906335717810053</v>
      </c>
      <c r="S130" s="35">
        <f t="shared" si="39"/>
        <v>-0.43866932115144497</v>
      </c>
      <c r="T130" s="35">
        <f t="shared" si="40"/>
        <v>-9.9819911786568571E-2</v>
      </c>
      <c r="U130" s="35">
        <f t="shared" si="41"/>
        <v>-0.31906335717810053</v>
      </c>
    </row>
    <row r="131" spans="1:21" x14ac:dyDescent="0.25">
      <c r="A131" s="26">
        <f t="shared" si="21"/>
        <v>16</v>
      </c>
      <c r="B131" s="26">
        <f t="shared" si="22"/>
        <v>3</v>
      </c>
      <c r="C131" s="26">
        <f t="shared" si="23"/>
        <v>24</v>
      </c>
      <c r="D131" s="26">
        <f t="shared" si="24"/>
        <v>1</v>
      </c>
      <c r="E131" s="26">
        <f t="shared" si="25"/>
        <v>8</v>
      </c>
      <c r="F131" s="26">
        <f t="shared" si="26"/>
        <v>40</v>
      </c>
      <c r="G131" s="29">
        <f t="shared" si="27"/>
        <v>44682</v>
      </c>
      <c r="H131" s="26">
        <f t="shared" si="28"/>
        <v>43</v>
      </c>
      <c r="I131" s="29">
        <f t="shared" si="29"/>
        <v>44743</v>
      </c>
      <c r="J131" s="33">
        <f t="shared" si="30"/>
        <v>137325.9301383495</v>
      </c>
      <c r="K131" s="33">
        <f t="shared" si="31"/>
        <v>80016.69003367424</v>
      </c>
      <c r="L131" s="19">
        <f t="shared" si="32"/>
        <v>1.6036538214158373</v>
      </c>
      <c r="M131" s="19">
        <f t="shared" si="33"/>
        <v>1.6036538214158373</v>
      </c>
      <c r="N131" s="33">
        <f t="shared" si="34"/>
        <v>128319.07074954823</v>
      </c>
      <c r="O131" s="33">
        <f t="shared" si="35"/>
        <v>91474.478939311099</v>
      </c>
      <c r="P131" s="35">
        <f t="shared" si="36"/>
        <v>0.4173227885435683</v>
      </c>
      <c r="Q131" s="35">
        <f t="shared" si="37"/>
        <v>6.5587463195969448E-2</v>
      </c>
      <c r="R131" s="35">
        <f t="shared" si="38"/>
        <v>0.33388778909303723</v>
      </c>
      <c r="S131" s="35">
        <f t="shared" si="39"/>
        <v>-0.4173227885435683</v>
      </c>
      <c r="T131" s="35">
        <f t="shared" si="40"/>
        <v>-6.558746319596942E-2</v>
      </c>
      <c r="U131" s="35">
        <f t="shared" si="41"/>
        <v>-0.33388778909303729</v>
      </c>
    </row>
    <row r="132" spans="1:21" x14ac:dyDescent="0.25">
      <c r="A132" s="26">
        <f t="shared" si="21"/>
        <v>16</v>
      </c>
      <c r="B132" s="26">
        <f t="shared" si="22"/>
        <v>4</v>
      </c>
      <c r="C132" s="26">
        <f t="shared" si="23"/>
        <v>24</v>
      </c>
      <c r="D132" s="26">
        <f t="shared" si="24"/>
        <v>1</v>
      </c>
      <c r="E132" s="26">
        <f t="shared" si="25"/>
        <v>8</v>
      </c>
      <c r="F132" s="26">
        <f t="shared" si="26"/>
        <v>40</v>
      </c>
      <c r="G132" s="29">
        <f t="shared" si="27"/>
        <v>44682</v>
      </c>
      <c r="H132" s="26">
        <f t="shared" si="28"/>
        <v>44</v>
      </c>
      <c r="I132" s="29">
        <f t="shared" si="29"/>
        <v>44774</v>
      </c>
      <c r="J132" s="33">
        <f t="shared" si="30"/>
        <v>142612.7901010513</v>
      </c>
      <c r="K132" s="33">
        <f t="shared" si="31"/>
        <v>80303.24014878273</v>
      </c>
      <c r="L132" s="19">
        <f t="shared" si="32"/>
        <v>1.6036538214158373</v>
      </c>
      <c r="M132" s="19">
        <f t="shared" si="33"/>
        <v>1.6036538214158373</v>
      </c>
      <c r="N132" s="33">
        <f t="shared" si="34"/>
        <v>128778.59793666912</v>
      </c>
      <c r="O132" s="33">
        <f t="shared" si="35"/>
        <v>85645.451358525403</v>
      </c>
      <c r="P132" s="35">
        <f t="shared" si="36"/>
        <v>0.43691417795078424</v>
      </c>
      <c r="Q132" s="35">
        <f t="shared" si="37"/>
        <v>9.7005269685697018E-2</v>
      </c>
      <c r="R132" s="35">
        <f t="shared" si="38"/>
        <v>0.39945462606937632</v>
      </c>
      <c r="S132" s="35">
        <f t="shared" si="39"/>
        <v>-0.43691417795078424</v>
      </c>
      <c r="T132" s="35">
        <f t="shared" si="40"/>
        <v>-9.7005269685697004E-2</v>
      </c>
      <c r="U132" s="35">
        <f t="shared" si="41"/>
        <v>-0.39945462606937632</v>
      </c>
    </row>
    <row r="133" spans="1:21" x14ac:dyDescent="0.25">
      <c r="A133" s="26">
        <f t="shared" si="21"/>
        <v>16</v>
      </c>
      <c r="B133" s="26">
        <f t="shared" si="22"/>
        <v>5</v>
      </c>
      <c r="C133" s="26">
        <f t="shared" si="23"/>
        <v>24</v>
      </c>
      <c r="D133" s="26">
        <f t="shared" si="24"/>
        <v>1</v>
      </c>
      <c r="E133" s="26">
        <f t="shared" si="25"/>
        <v>8</v>
      </c>
      <c r="F133" s="26">
        <f t="shared" si="26"/>
        <v>40</v>
      </c>
      <c r="G133" s="29">
        <f t="shared" si="27"/>
        <v>44682</v>
      </c>
      <c r="H133" s="26">
        <f t="shared" si="28"/>
        <v>45</v>
      </c>
      <c r="I133" s="29">
        <f t="shared" si="29"/>
        <v>44805</v>
      </c>
      <c r="J133" s="33">
        <f t="shared" si="30"/>
        <v>137519.58025622371</v>
      </c>
      <c r="K133" s="33">
        <f t="shared" si="31"/>
        <v>84924.860115528107</v>
      </c>
      <c r="L133" s="19">
        <f t="shared" si="32"/>
        <v>1.6036538214158373</v>
      </c>
      <c r="M133" s="19">
        <f t="shared" si="33"/>
        <v>1.6036538214158373</v>
      </c>
      <c r="N133" s="33">
        <f t="shared" si="34"/>
        <v>136190.07645747208</v>
      </c>
      <c r="O133" s="33">
        <f t="shared" si="35"/>
        <v>77868.769763598219</v>
      </c>
      <c r="P133" s="35">
        <f t="shared" si="36"/>
        <v>0.38245259360668626</v>
      </c>
      <c r="Q133" s="35">
        <f t="shared" si="37"/>
        <v>9.6677418319232912E-3</v>
      </c>
      <c r="R133" s="35">
        <f t="shared" si="38"/>
        <v>0.43376230774908781</v>
      </c>
      <c r="S133" s="35">
        <f t="shared" si="39"/>
        <v>-0.38245259360668626</v>
      </c>
      <c r="T133" s="35">
        <f t="shared" si="40"/>
        <v>-9.6677418319233155E-3</v>
      </c>
      <c r="U133" s="35">
        <f t="shared" si="41"/>
        <v>-0.43376230774908786</v>
      </c>
    </row>
    <row r="134" spans="1:21" x14ac:dyDescent="0.25">
      <c r="A134" s="26">
        <f t="shared" si="21"/>
        <v>16</v>
      </c>
      <c r="B134" s="26">
        <f t="shared" si="22"/>
        <v>6</v>
      </c>
      <c r="C134" s="26">
        <f t="shared" si="23"/>
        <v>24</v>
      </c>
      <c r="D134" s="26">
        <f t="shared" si="24"/>
        <v>1</v>
      </c>
      <c r="E134" s="26">
        <f t="shared" si="25"/>
        <v>8</v>
      </c>
      <c r="F134" s="26">
        <f t="shared" si="26"/>
        <v>40</v>
      </c>
      <c r="G134" s="29">
        <f t="shared" si="27"/>
        <v>44682</v>
      </c>
      <c r="H134" s="26">
        <f t="shared" si="28"/>
        <v>46</v>
      </c>
      <c r="I134" s="29">
        <f t="shared" si="29"/>
        <v>44835</v>
      </c>
      <c r="J134" s="33">
        <f t="shared" si="30"/>
        <v>152485.03018927571</v>
      </c>
      <c r="K134" s="33">
        <f t="shared" si="31"/>
        <v>91275.620025634766</v>
      </c>
      <c r="L134" s="19">
        <f t="shared" si="32"/>
        <v>1.6036538214158373</v>
      </c>
      <c r="M134" s="19">
        <f t="shared" si="33"/>
        <v>1.6036538214158373</v>
      </c>
      <c r="N134" s="33">
        <f t="shared" si="34"/>
        <v>146374.49685620912</v>
      </c>
      <c r="O134" s="33">
        <f t="shared" si="35"/>
        <v>82032.252857703919</v>
      </c>
      <c r="P134" s="35">
        <f t="shared" si="36"/>
        <v>0.40141258514139583</v>
      </c>
      <c r="Q134" s="35">
        <f t="shared" si="37"/>
        <v>4.0073004710572194E-2</v>
      </c>
      <c r="R134" s="35">
        <f t="shared" si="38"/>
        <v>0.46203077931073355</v>
      </c>
      <c r="S134" s="35">
        <f t="shared" si="39"/>
        <v>-0.40141258514139577</v>
      </c>
      <c r="T134" s="35">
        <f t="shared" si="40"/>
        <v>-4.007300471057218E-2</v>
      </c>
      <c r="U134" s="35">
        <f t="shared" si="41"/>
        <v>-0.46203077931073355</v>
      </c>
    </row>
    <row r="135" spans="1:21" x14ac:dyDescent="0.25">
      <c r="A135" s="26">
        <f t="shared" si="21"/>
        <v>16</v>
      </c>
      <c r="B135" s="26">
        <f t="shared" si="22"/>
        <v>7</v>
      </c>
      <c r="C135" s="26">
        <f t="shared" si="23"/>
        <v>24</v>
      </c>
      <c r="D135" s="26">
        <f t="shared" si="24"/>
        <v>1</v>
      </c>
      <c r="E135" s="26">
        <f t="shared" si="25"/>
        <v>8</v>
      </c>
      <c r="F135" s="26">
        <f t="shared" si="26"/>
        <v>40</v>
      </c>
      <c r="G135" s="29">
        <f t="shared" si="27"/>
        <v>44682</v>
      </c>
      <c r="H135" s="26">
        <f t="shared" si="28"/>
        <v>47</v>
      </c>
      <c r="I135" s="29">
        <f t="shared" si="29"/>
        <v>44866</v>
      </c>
      <c r="J135" s="33">
        <f t="shared" si="30"/>
        <v>155504.0401403904</v>
      </c>
      <c r="K135" s="33">
        <f t="shared" si="31"/>
        <v>94327.220094442368</v>
      </c>
      <c r="L135" s="19">
        <f t="shared" si="32"/>
        <v>1.6036538214158373</v>
      </c>
      <c r="M135" s="19">
        <f t="shared" si="33"/>
        <v>1.6036538214158373</v>
      </c>
      <c r="N135" s="33">
        <f t="shared" si="34"/>
        <v>151268.20696798526</v>
      </c>
      <c r="O135" s="33">
        <f t="shared" si="35"/>
        <v>83434.454513914228</v>
      </c>
      <c r="P135" s="35">
        <f t="shared" si="36"/>
        <v>0.39340984318296207</v>
      </c>
      <c r="Q135" s="35">
        <f t="shared" si="37"/>
        <v>2.7239376987125169E-2</v>
      </c>
      <c r="R135" s="35">
        <f t="shared" si="38"/>
        <v>0.46345796264464334</v>
      </c>
      <c r="S135" s="35">
        <f t="shared" si="39"/>
        <v>-0.39340984318296213</v>
      </c>
      <c r="T135" s="35">
        <f t="shared" si="40"/>
        <v>-2.7239376987125197E-2</v>
      </c>
      <c r="U135" s="35">
        <f t="shared" si="41"/>
        <v>-0.46345796264464334</v>
      </c>
    </row>
    <row r="136" spans="1:21" x14ac:dyDescent="0.25">
      <c r="A136" s="37">
        <f t="shared" si="21"/>
        <v>16</v>
      </c>
      <c r="B136" s="37">
        <f t="shared" si="22"/>
        <v>8</v>
      </c>
      <c r="C136" s="37">
        <f t="shared" si="23"/>
        <v>24</v>
      </c>
      <c r="D136" s="37">
        <f t="shared" si="24"/>
        <v>1</v>
      </c>
      <c r="E136" s="37">
        <f t="shared" si="25"/>
        <v>8</v>
      </c>
      <c r="F136" s="37">
        <f t="shared" si="26"/>
        <v>40</v>
      </c>
      <c r="G136" s="38">
        <f t="shared" si="27"/>
        <v>44682</v>
      </c>
      <c r="H136" s="37">
        <f t="shared" si="28"/>
        <v>48</v>
      </c>
      <c r="I136" s="38">
        <f t="shared" si="29"/>
        <v>44896</v>
      </c>
      <c r="J136" s="39">
        <f t="shared" si="30"/>
        <v>160734.2702050395</v>
      </c>
      <c r="K136" s="39">
        <f t="shared" si="31"/>
        <v>95950.710146665573</v>
      </c>
      <c r="L136" s="40">
        <f t="shared" si="32"/>
        <v>1.6036538214158373</v>
      </c>
      <c r="M136" s="40">
        <f t="shared" si="33"/>
        <v>1.6036538214158373</v>
      </c>
      <c r="N136" s="39">
        <f t="shared" si="34"/>
        <v>153871.7229942636</v>
      </c>
      <c r="O136" s="39">
        <f t="shared" si="35"/>
        <v>81437.791000023048</v>
      </c>
      <c r="P136" s="41">
        <f t="shared" si="36"/>
        <v>0.4030475888914869</v>
      </c>
      <c r="Q136" s="41">
        <f t="shared" si="37"/>
        <v>4.2694984722434985E-2</v>
      </c>
      <c r="R136" s="41">
        <f t="shared" si="38"/>
        <v>0.49333896936765553</v>
      </c>
      <c r="S136" s="41">
        <f t="shared" si="39"/>
        <v>-0.40304758889148684</v>
      </c>
      <c r="T136" s="41">
        <f t="shared" si="40"/>
        <v>-4.2694984722434937E-2</v>
      </c>
      <c r="U136" s="41">
        <f t="shared" si="41"/>
        <v>-0.49333896936765553</v>
      </c>
    </row>
    <row r="137" spans="1:21" x14ac:dyDescent="0.25">
      <c r="A137" s="26">
        <f t="shared" ref="A137:A200" si="42">INT((ROW()-ROW($A$9))/Horizon)+1</f>
        <v>17</v>
      </c>
      <c r="B137" s="26">
        <f t="shared" ref="B137:B200" si="43">MOD(ROW()-ROW($A$9),Horizon)+1</f>
        <v>1</v>
      </c>
      <c r="C137" s="26">
        <f t="shared" ref="C137:C200" si="44">(NMonths-MinTrain)-(A137-1)</f>
        <v>23</v>
      </c>
      <c r="D137" s="26">
        <f t="shared" ref="D137:D200" si="45">IF(C137&lt;=TestsUsed+Horizon-1,1,0)</f>
        <v>1</v>
      </c>
      <c r="E137" s="26">
        <f t="shared" ref="E137:E200" si="46">IF(D137=1,TestsUsed+Horizon-C137,"")</f>
        <v>9</v>
      </c>
      <c r="F137" s="26">
        <f t="shared" ref="F137:F200" si="47">NMonths-C137</f>
        <v>41</v>
      </c>
      <c r="G137" s="29">
        <f t="shared" ref="G137:G200" si="48">INDEX(Months,F137+1)</f>
        <v>44713</v>
      </c>
      <c r="H137" s="26">
        <f t="shared" ref="H137:H200" si="49">F137+B137</f>
        <v>42</v>
      </c>
      <c r="I137" s="29">
        <f t="shared" ref="I137:I200" si="50">INDEX(Months,H137)</f>
        <v>44713</v>
      </c>
      <c r="J137" s="33">
        <f t="shared" ref="J137:J200" si="51">INDEX(Sales,H137)</f>
        <v>133353.570147872</v>
      </c>
      <c r="K137" s="33">
        <f t="shared" ref="K137:K200" si="52">INDEX(Sales,H137-Season)</f>
        <v>74855.450057983398</v>
      </c>
      <c r="L137" s="19">
        <f t="shared" ref="L137:L200" si="53">INDEX(Sales,F137)/INDEX(Sales,F137-Season)</f>
        <v>1.6168821043168546</v>
      </c>
      <c r="M137" s="19">
        <f t="shared" ref="M137:M200" si="54">MIN(MAX(L137,ClipLow),ClipHigh)</f>
        <v>1.6168821043168546</v>
      </c>
      <c r="N137" s="33">
        <f t="shared" ref="N137:N200" si="55">K137*M137</f>
        <v>121032.43760933742</v>
      </c>
      <c r="O137" s="33">
        <f t="shared" ref="O137:O200" si="56">INDEX(HWTable,MATCH(C137,HWOffsets,0),B137)</f>
        <v>118563.1328670548</v>
      </c>
      <c r="P137" s="35">
        <f t="shared" ref="P137:P200" si="57">ABS(K137-J137)/J137</f>
        <v>0.43866932115144491</v>
      </c>
      <c r="Q137" s="35">
        <f t="shared" ref="Q137:Q200" si="58">ABS(N137-J137)/J137</f>
        <v>9.2394470765739756E-2</v>
      </c>
      <c r="R137" s="35">
        <f t="shared" ref="R137:R200" si="59">ABS(O137-J137)/J137</f>
        <v>0.11091144589842257</v>
      </c>
      <c r="S137" s="35">
        <f t="shared" ref="S137:S200" si="60">K137/J137-1</f>
        <v>-0.43866932115144497</v>
      </c>
      <c r="T137" s="35">
        <f t="shared" ref="T137:T200" si="61">N137/J137-1</f>
        <v>-9.23944707657397E-2</v>
      </c>
      <c r="U137" s="35">
        <f t="shared" ref="U137:U200" si="62">O137/J137-1</f>
        <v>-0.11091144589842261</v>
      </c>
    </row>
    <row r="138" spans="1:21" x14ac:dyDescent="0.25">
      <c r="A138" s="26">
        <f t="shared" si="42"/>
        <v>17</v>
      </c>
      <c r="B138" s="26">
        <f t="shared" si="43"/>
        <v>2</v>
      </c>
      <c r="C138" s="26">
        <f t="shared" si="44"/>
        <v>23</v>
      </c>
      <c r="D138" s="26">
        <f t="shared" si="45"/>
        <v>1</v>
      </c>
      <c r="E138" s="26">
        <f t="shared" si="46"/>
        <v>9</v>
      </c>
      <c r="F138" s="26">
        <f t="shared" si="47"/>
        <v>41</v>
      </c>
      <c r="G138" s="29">
        <f t="shared" si="48"/>
        <v>44713</v>
      </c>
      <c r="H138" s="26">
        <f t="shared" si="49"/>
        <v>43</v>
      </c>
      <c r="I138" s="29">
        <f t="shared" si="50"/>
        <v>44743</v>
      </c>
      <c r="J138" s="33">
        <f t="shared" si="51"/>
        <v>137325.9301383495</v>
      </c>
      <c r="K138" s="33">
        <f t="shared" si="52"/>
        <v>80016.69003367424</v>
      </c>
      <c r="L138" s="19">
        <f t="shared" si="53"/>
        <v>1.6168821043168546</v>
      </c>
      <c r="M138" s="19">
        <f t="shared" si="54"/>
        <v>1.6168821043168546</v>
      </c>
      <c r="N138" s="33">
        <f t="shared" si="55"/>
        <v>129377.55416211669</v>
      </c>
      <c r="O138" s="33">
        <f t="shared" si="56"/>
        <v>131603.86861113389</v>
      </c>
      <c r="P138" s="35">
        <f t="shared" si="57"/>
        <v>0.4173227885435683</v>
      </c>
      <c r="Q138" s="35">
        <f t="shared" si="58"/>
        <v>5.7879644202847864E-2</v>
      </c>
      <c r="R138" s="35">
        <f t="shared" si="59"/>
        <v>4.1667742730385308E-2</v>
      </c>
      <c r="S138" s="35">
        <f t="shared" si="60"/>
        <v>-0.4173227885435683</v>
      </c>
      <c r="T138" s="35">
        <f t="shared" si="61"/>
        <v>-5.7879644202847857E-2</v>
      </c>
      <c r="U138" s="35">
        <f t="shared" si="62"/>
        <v>-4.1667742730385315E-2</v>
      </c>
    </row>
    <row r="139" spans="1:21" x14ac:dyDescent="0.25">
      <c r="A139" s="26">
        <f t="shared" si="42"/>
        <v>17</v>
      </c>
      <c r="B139" s="26">
        <f t="shared" si="43"/>
        <v>3</v>
      </c>
      <c r="C139" s="26">
        <f t="shared" si="44"/>
        <v>23</v>
      </c>
      <c r="D139" s="26">
        <f t="shared" si="45"/>
        <v>1</v>
      </c>
      <c r="E139" s="26">
        <f t="shared" si="46"/>
        <v>9</v>
      </c>
      <c r="F139" s="26">
        <f t="shared" si="47"/>
        <v>41</v>
      </c>
      <c r="G139" s="29">
        <f t="shared" si="48"/>
        <v>44713</v>
      </c>
      <c r="H139" s="26">
        <f t="shared" si="49"/>
        <v>44</v>
      </c>
      <c r="I139" s="29">
        <f t="shared" si="50"/>
        <v>44774</v>
      </c>
      <c r="J139" s="33">
        <f t="shared" si="51"/>
        <v>142612.7901010513</v>
      </c>
      <c r="K139" s="33">
        <f t="shared" si="52"/>
        <v>80303.24014878273</v>
      </c>
      <c r="L139" s="19">
        <f t="shared" si="53"/>
        <v>1.6168821043168546</v>
      </c>
      <c r="M139" s="19">
        <f t="shared" si="54"/>
        <v>1.6168821043168546</v>
      </c>
      <c r="N139" s="33">
        <f t="shared" si="55"/>
        <v>129840.87191522555</v>
      </c>
      <c r="O139" s="33">
        <f t="shared" si="56"/>
        <v>135204.5488448219</v>
      </c>
      <c r="P139" s="35">
        <f t="shared" si="57"/>
        <v>0.43691417795078424</v>
      </c>
      <c r="Q139" s="35">
        <f t="shared" si="58"/>
        <v>8.9556611134078076E-2</v>
      </c>
      <c r="R139" s="35">
        <f t="shared" si="59"/>
        <v>5.194654175814202E-2</v>
      </c>
      <c r="S139" s="35">
        <f t="shared" si="60"/>
        <v>-0.43691417795078424</v>
      </c>
      <c r="T139" s="35">
        <f t="shared" si="61"/>
        <v>-8.955661113407809E-2</v>
      </c>
      <c r="U139" s="35">
        <f t="shared" si="62"/>
        <v>-5.1946541758142062E-2</v>
      </c>
    </row>
    <row r="140" spans="1:21" x14ac:dyDescent="0.25">
      <c r="A140" s="26">
        <f t="shared" si="42"/>
        <v>17</v>
      </c>
      <c r="B140" s="26">
        <f t="shared" si="43"/>
        <v>4</v>
      </c>
      <c r="C140" s="26">
        <f t="shared" si="44"/>
        <v>23</v>
      </c>
      <c r="D140" s="26">
        <f t="shared" si="45"/>
        <v>1</v>
      </c>
      <c r="E140" s="26">
        <f t="shared" si="46"/>
        <v>9</v>
      </c>
      <c r="F140" s="26">
        <f t="shared" si="47"/>
        <v>41</v>
      </c>
      <c r="G140" s="29">
        <f t="shared" si="48"/>
        <v>44713</v>
      </c>
      <c r="H140" s="26">
        <f t="shared" si="49"/>
        <v>45</v>
      </c>
      <c r="I140" s="29">
        <f t="shared" si="50"/>
        <v>44805</v>
      </c>
      <c r="J140" s="33">
        <f t="shared" si="51"/>
        <v>137519.58025622371</v>
      </c>
      <c r="K140" s="33">
        <f t="shared" si="52"/>
        <v>84924.860115528107</v>
      </c>
      <c r="L140" s="19">
        <f t="shared" si="53"/>
        <v>1.6168821043168546</v>
      </c>
      <c r="M140" s="19">
        <f t="shared" si="54"/>
        <v>1.6168821043168546</v>
      </c>
      <c r="N140" s="33">
        <f t="shared" si="55"/>
        <v>137313.48653240962</v>
      </c>
      <c r="O140" s="33">
        <f t="shared" si="56"/>
        <v>134327.1539423452</v>
      </c>
      <c r="P140" s="35">
        <f t="shared" si="57"/>
        <v>0.38245259360668626</v>
      </c>
      <c r="Q140" s="35">
        <f t="shared" si="58"/>
        <v>1.4986500353629702E-3</v>
      </c>
      <c r="R140" s="35">
        <f t="shared" si="59"/>
        <v>2.3214340153819828E-2</v>
      </c>
      <c r="S140" s="35">
        <f t="shared" si="60"/>
        <v>-0.38245259360668626</v>
      </c>
      <c r="T140" s="35">
        <f t="shared" si="61"/>
        <v>-1.4986500353629806E-3</v>
      </c>
      <c r="U140" s="35">
        <f t="shared" si="62"/>
        <v>-2.3214340153819846E-2</v>
      </c>
    </row>
    <row r="141" spans="1:21" x14ac:dyDescent="0.25">
      <c r="A141" s="26">
        <f t="shared" si="42"/>
        <v>17</v>
      </c>
      <c r="B141" s="26">
        <f t="shared" si="43"/>
        <v>5</v>
      </c>
      <c r="C141" s="26">
        <f t="shared" si="44"/>
        <v>23</v>
      </c>
      <c r="D141" s="26">
        <f t="shared" si="45"/>
        <v>1</v>
      </c>
      <c r="E141" s="26">
        <f t="shared" si="46"/>
        <v>9</v>
      </c>
      <c r="F141" s="26">
        <f t="shared" si="47"/>
        <v>41</v>
      </c>
      <c r="G141" s="29">
        <f t="shared" si="48"/>
        <v>44713</v>
      </c>
      <c r="H141" s="26">
        <f t="shared" si="49"/>
        <v>46</v>
      </c>
      <c r="I141" s="29">
        <f t="shared" si="50"/>
        <v>44835</v>
      </c>
      <c r="J141" s="33">
        <f t="shared" si="51"/>
        <v>152485.03018927571</v>
      </c>
      <c r="K141" s="33">
        <f t="shared" si="52"/>
        <v>91275.620025634766</v>
      </c>
      <c r="L141" s="19">
        <f t="shared" si="53"/>
        <v>1.6168821043168546</v>
      </c>
      <c r="M141" s="19">
        <f t="shared" si="54"/>
        <v>1.6168821043168546</v>
      </c>
      <c r="N141" s="33">
        <f t="shared" si="55"/>
        <v>147581.91657987397</v>
      </c>
      <c r="O141" s="33">
        <f t="shared" si="56"/>
        <v>153988.5891988026</v>
      </c>
      <c r="P141" s="35">
        <f t="shared" si="57"/>
        <v>0.40141258514139583</v>
      </c>
      <c r="Q141" s="35">
        <f t="shared" si="58"/>
        <v>3.2154721045834035E-2</v>
      </c>
      <c r="R141" s="35">
        <f t="shared" si="59"/>
        <v>9.8603712617596397E-3</v>
      </c>
      <c r="S141" s="35">
        <f t="shared" si="60"/>
        <v>-0.40141258514139577</v>
      </c>
      <c r="T141" s="35">
        <f t="shared" si="61"/>
        <v>-3.2154721045834056E-2</v>
      </c>
      <c r="U141" s="35">
        <f t="shared" si="62"/>
        <v>9.8603712617595374E-3</v>
      </c>
    </row>
    <row r="142" spans="1:21" x14ac:dyDescent="0.25">
      <c r="A142" s="26">
        <f t="shared" si="42"/>
        <v>17</v>
      </c>
      <c r="B142" s="26">
        <f t="shared" si="43"/>
        <v>6</v>
      </c>
      <c r="C142" s="26">
        <f t="shared" si="44"/>
        <v>23</v>
      </c>
      <c r="D142" s="26">
        <f t="shared" si="45"/>
        <v>1</v>
      </c>
      <c r="E142" s="26">
        <f t="shared" si="46"/>
        <v>9</v>
      </c>
      <c r="F142" s="26">
        <f t="shared" si="47"/>
        <v>41</v>
      </c>
      <c r="G142" s="29">
        <f t="shared" si="48"/>
        <v>44713</v>
      </c>
      <c r="H142" s="26">
        <f t="shared" si="49"/>
        <v>47</v>
      </c>
      <c r="I142" s="29">
        <f t="shared" si="50"/>
        <v>44866</v>
      </c>
      <c r="J142" s="33">
        <f t="shared" si="51"/>
        <v>155504.0401403904</v>
      </c>
      <c r="K142" s="33">
        <f t="shared" si="52"/>
        <v>94327.220094442368</v>
      </c>
      <c r="L142" s="19">
        <f t="shared" si="53"/>
        <v>1.6168821043168546</v>
      </c>
      <c r="M142" s="19">
        <f t="shared" si="54"/>
        <v>1.6168821043168546</v>
      </c>
      <c r="N142" s="33">
        <f t="shared" si="55"/>
        <v>152515.99412066108</v>
      </c>
      <c r="O142" s="33">
        <f t="shared" si="56"/>
        <v>169726.73622419481</v>
      </c>
      <c r="P142" s="35">
        <f t="shared" si="57"/>
        <v>0.39340984318296207</v>
      </c>
      <c r="Q142" s="35">
        <f t="shared" si="58"/>
        <v>1.9215230787776833E-2</v>
      </c>
      <c r="R142" s="35">
        <f t="shared" si="59"/>
        <v>9.1461907169511761E-2</v>
      </c>
      <c r="S142" s="35">
        <f t="shared" si="60"/>
        <v>-0.39340984318296213</v>
      </c>
      <c r="T142" s="35">
        <f t="shared" si="61"/>
        <v>-1.9215230787776871E-2</v>
      </c>
      <c r="U142" s="35">
        <f t="shared" si="62"/>
        <v>9.1461907169511747E-2</v>
      </c>
    </row>
    <row r="143" spans="1:21" x14ac:dyDescent="0.25">
      <c r="A143" s="26">
        <f t="shared" si="42"/>
        <v>17</v>
      </c>
      <c r="B143" s="26">
        <f t="shared" si="43"/>
        <v>7</v>
      </c>
      <c r="C143" s="26">
        <f t="shared" si="44"/>
        <v>23</v>
      </c>
      <c r="D143" s="26">
        <f t="shared" si="45"/>
        <v>1</v>
      </c>
      <c r="E143" s="26">
        <f t="shared" si="46"/>
        <v>9</v>
      </c>
      <c r="F143" s="26">
        <f t="shared" si="47"/>
        <v>41</v>
      </c>
      <c r="G143" s="29">
        <f t="shared" si="48"/>
        <v>44713</v>
      </c>
      <c r="H143" s="26">
        <f t="shared" si="49"/>
        <v>48</v>
      </c>
      <c r="I143" s="29">
        <f t="shared" si="50"/>
        <v>44896</v>
      </c>
      <c r="J143" s="33">
        <f t="shared" si="51"/>
        <v>160734.2702050395</v>
      </c>
      <c r="K143" s="33">
        <f t="shared" si="52"/>
        <v>95950.710146665573</v>
      </c>
      <c r="L143" s="19">
        <f t="shared" si="53"/>
        <v>1.6168821043168546</v>
      </c>
      <c r="M143" s="19">
        <f t="shared" si="54"/>
        <v>1.6168821043168546</v>
      </c>
      <c r="N143" s="33">
        <f t="shared" si="55"/>
        <v>155140.98613263722</v>
      </c>
      <c r="O143" s="33">
        <f t="shared" si="56"/>
        <v>178784.7503836251</v>
      </c>
      <c r="P143" s="35">
        <f t="shared" si="57"/>
        <v>0.4030475888914869</v>
      </c>
      <c r="Q143" s="35">
        <f t="shared" si="58"/>
        <v>3.4798329349847112E-2</v>
      </c>
      <c r="R143" s="35">
        <f t="shared" si="59"/>
        <v>0.11230013459830086</v>
      </c>
      <c r="S143" s="35">
        <f t="shared" si="60"/>
        <v>-0.40304758889148684</v>
      </c>
      <c r="T143" s="35">
        <f t="shared" si="61"/>
        <v>-3.4798329349847168E-2</v>
      </c>
      <c r="U143" s="35">
        <f t="shared" si="62"/>
        <v>0.11230013459830079</v>
      </c>
    </row>
    <row r="144" spans="1:21" x14ac:dyDescent="0.25">
      <c r="A144" s="37">
        <f t="shared" si="42"/>
        <v>17</v>
      </c>
      <c r="B144" s="37">
        <f t="shared" si="43"/>
        <v>8</v>
      </c>
      <c r="C144" s="37">
        <f t="shared" si="44"/>
        <v>23</v>
      </c>
      <c r="D144" s="37">
        <f t="shared" si="45"/>
        <v>1</v>
      </c>
      <c r="E144" s="37">
        <f t="shared" si="46"/>
        <v>9</v>
      </c>
      <c r="F144" s="37">
        <f t="shared" si="47"/>
        <v>41</v>
      </c>
      <c r="G144" s="38">
        <f t="shared" si="48"/>
        <v>44713</v>
      </c>
      <c r="H144" s="37">
        <f t="shared" si="49"/>
        <v>49</v>
      </c>
      <c r="I144" s="38">
        <f t="shared" si="50"/>
        <v>44927</v>
      </c>
      <c r="J144" s="39">
        <f t="shared" si="51"/>
        <v>188680.17009925839</v>
      </c>
      <c r="K144" s="39">
        <f t="shared" si="52"/>
        <v>113670.3201682568</v>
      </c>
      <c r="L144" s="40">
        <f t="shared" si="53"/>
        <v>1.6168821043168546</v>
      </c>
      <c r="M144" s="40">
        <f t="shared" si="54"/>
        <v>1.6168821043168546</v>
      </c>
      <c r="N144" s="39">
        <f t="shared" si="55"/>
        <v>183791.50647202166</v>
      </c>
      <c r="O144" s="39">
        <f t="shared" si="56"/>
        <v>222683.12710073529</v>
      </c>
      <c r="P144" s="41">
        <f t="shared" si="57"/>
        <v>0.39755025603136457</v>
      </c>
      <c r="Q144" s="41">
        <f t="shared" si="58"/>
        <v>2.5909790226842429E-2</v>
      </c>
      <c r="R144" s="41">
        <f t="shared" si="59"/>
        <v>0.18021478878034225</v>
      </c>
      <c r="S144" s="41">
        <f t="shared" si="60"/>
        <v>-0.39755025603136451</v>
      </c>
      <c r="T144" s="41">
        <f t="shared" si="61"/>
        <v>-2.5909790226842477E-2</v>
      </c>
      <c r="U144" s="41">
        <f t="shared" si="62"/>
        <v>0.18021478878034225</v>
      </c>
    </row>
    <row r="145" spans="1:21" x14ac:dyDescent="0.25">
      <c r="A145" s="26">
        <f t="shared" si="42"/>
        <v>18</v>
      </c>
      <c r="B145" s="26">
        <f t="shared" si="43"/>
        <v>1</v>
      </c>
      <c r="C145" s="26">
        <f t="shared" si="44"/>
        <v>22</v>
      </c>
      <c r="D145" s="26">
        <f t="shared" si="45"/>
        <v>1</v>
      </c>
      <c r="E145" s="26">
        <f t="shared" si="46"/>
        <v>10</v>
      </c>
      <c r="F145" s="26">
        <f t="shared" si="47"/>
        <v>42</v>
      </c>
      <c r="G145" s="29">
        <f t="shared" si="48"/>
        <v>44743</v>
      </c>
      <c r="H145" s="26">
        <f t="shared" si="49"/>
        <v>43</v>
      </c>
      <c r="I145" s="29">
        <f t="shared" si="50"/>
        <v>44743</v>
      </c>
      <c r="J145" s="33">
        <f t="shared" si="51"/>
        <v>137325.9301383495</v>
      </c>
      <c r="K145" s="33">
        <f t="shared" si="52"/>
        <v>80016.69003367424</v>
      </c>
      <c r="L145" s="19">
        <f t="shared" si="53"/>
        <v>1.7814811085174918</v>
      </c>
      <c r="M145" s="19">
        <f t="shared" si="54"/>
        <v>1.7814811085174918</v>
      </c>
      <c r="N145" s="33">
        <f t="shared" si="55"/>
        <v>142548.22166109053</v>
      </c>
      <c r="O145" s="33">
        <f t="shared" si="56"/>
        <v>158424.23108920961</v>
      </c>
      <c r="P145" s="35">
        <f t="shared" si="57"/>
        <v>0.4173227885435683</v>
      </c>
      <c r="Q145" s="35">
        <f t="shared" si="58"/>
        <v>3.8028444573284963E-2</v>
      </c>
      <c r="R145" s="35">
        <f t="shared" si="59"/>
        <v>0.15363668703794361</v>
      </c>
      <c r="S145" s="35">
        <f t="shared" si="60"/>
        <v>-0.4173227885435683</v>
      </c>
      <c r="T145" s="35">
        <f t="shared" si="61"/>
        <v>3.8028444573285025E-2</v>
      </c>
      <c r="U145" s="35">
        <f t="shared" si="62"/>
        <v>0.15363668703794353</v>
      </c>
    </row>
    <row r="146" spans="1:21" x14ac:dyDescent="0.25">
      <c r="A146" s="26">
        <f t="shared" si="42"/>
        <v>18</v>
      </c>
      <c r="B146" s="26">
        <f t="shared" si="43"/>
        <v>2</v>
      </c>
      <c r="C146" s="26">
        <f t="shared" si="44"/>
        <v>22</v>
      </c>
      <c r="D146" s="26">
        <f t="shared" si="45"/>
        <v>1</v>
      </c>
      <c r="E146" s="26">
        <f t="shared" si="46"/>
        <v>10</v>
      </c>
      <c r="F146" s="26">
        <f t="shared" si="47"/>
        <v>42</v>
      </c>
      <c r="G146" s="29">
        <f t="shared" si="48"/>
        <v>44743</v>
      </c>
      <c r="H146" s="26">
        <f t="shared" si="49"/>
        <v>44</v>
      </c>
      <c r="I146" s="29">
        <f t="shared" si="50"/>
        <v>44774</v>
      </c>
      <c r="J146" s="33">
        <f t="shared" si="51"/>
        <v>142612.7901010513</v>
      </c>
      <c r="K146" s="33">
        <f t="shared" si="52"/>
        <v>80303.24014878273</v>
      </c>
      <c r="L146" s="19">
        <f t="shared" si="53"/>
        <v>1.7814811085174918</v>
      </c>
      <c r="M146" s="19">
        <f t="shared" si="54"/>
        <v>1.7814811085174918</v>
      </c>
      <c r="N146" s="33">
        <f t="shared" si="55"/>
        <v>143058.7052777998</v>
      </c>
      <c r="O146" s="33">
        <f t="shared" si="56"/>
        <v>175373.95814388749</v>
      </c>
      <c r="P146" s="35">
        <f t="shared" si="57"/>
        <v>0.43691417795078424</v>
      </c>
      <c r="Q146" s="35">
        <f t="shared" si="58"/>
        <v>3.1267544547199395E-3</v>
      </c>
      <c r="R146" s="35">
        <f t="shared" si="59"/>
        <v>0.22972110719958969</v>
      </c>
      <c r="S146" s="35">
        <f t="shared" si="60"/>
        <v>-0.43691417795078424</v>
      </c>
      <c r="T146" s="35">
        <f t="shared" si="61"/>
        <v>3.1267544547199932E-3</v>
      </c>
      <c r="U146" s="35">
        <f t="shared" si="62"/>
        <v>0.22972110719958971</v>
      </c>
    </row>
    <row r="147" spans="1:21" x14ac:dyDescent="0.25">
      <c r="A147" s="26">
        <f t="shared" si="42"/>
        <v>18</v>
      </c>
      <c r="B147" s="26">
        <f t="shared" si="43"/>
        <v>3</v>
      </c>
      <c r="C147" s="26">
        <f t="shared" si="44"/>
        <v>22</v>
      </c>
      <c r="D147" s="26">
        <f t="shared" si="45"/>
        <v>1</v>
      </c>
      <c r="E147" s="26">
        <f t="shared" si="46"/>
        <v>10</v>
      </c>
      <c r="F147" s="26">
        <f t="shared" si="47"/>
        <v>42</v>
      </c>
      <c r="G147" s="29">
        <f t="shared" si="48"/>
        <v>44743</v>
      </c>
      <c r="H147" s="26">
        <f t="shared" si="49"/>
        <v>45</v>
      </c>
      <c r="I147" s="29">
        <f t="shared" si="50"/>
        <v>44805</v>
      </c>
      <c r="J147" s="33">
        <f t="shared" si="51"/>
        <v>137519.58025622371</v>
      </c>
      <c r="K147" s="33">
        <f t="shared" si="52"/>
        <v>84924.860115528107</v>
      </c>
      <c r="L147" s="19">
        <f t="shared" si="53"/>
        <v>1.7814811085174918</v>
      </c>
      <c r="M147" s="19">
        <f t="shared" si="54"/>
        <v>1.7814811085174918</v>
      </c>
      <c r="N147" s="33">
        <f t="shared" si="55"/>
        <v>151292.03393930395</v>
      </c>
      <c r="O147" s="33">
        <f t="shared" si="56"/>
        <v>187461.19516935229</v>
      </c>
      <c r="P147" s="35">
        <f t="shared" si="57"/>
        <v>0.38245259360668626</v>
      </c>
      <c r="Q147" s="35">
        <f t="shared" si="58"/>
        <v>0.10014903810366263</v>
      </c>
      <c r="R147" s="35">
        <f t="shared" si="59"/>
        <v>0.36316003015773002</v>
      </c>
      <c r="S147" s="35">
        <f t="shared" si="60"/>
        <v>-0.38245259360668626</v>
      </c>
      <c r="T147" s="35">
        <f t="shared" si="61"/>
        <v>0.10014903810366271</v>
      </c>
      <c r="U147" s="35">
        <f t="shared" si="62"/>
        <v>0.36316003015773002</v>
      </c>
    </row>
    <row r="148" spans="1:21" x14ac:dyDescent="0.25">
      <c r="A148" s="26">
        <f t="shared" si="42"/>
        <v>18</v>
      </c>
      <c r="B148" s="26">
        <f t="shared" si="43"/>
        <v>4</v>
      </c>
      <c r="C148" s="26">
        <f t="shared" si="44"/>
        <v>22</v>
      </c>
      <c r="D148" s="26">
        <f t="shared" si="45"/>
        <v>1</v>
      </c>
      <c r="E148" s="26">
        <f t="shared" si="46"/>
        <v>10</v>
      </c>
      <c r="F148" s="26">
        <f t="shared" si="47"/>
        <v>42</v>
      </c>
      <c r="G148" s="29">
        <f t="shared" si="48"/>
        <v>44743</v>
      </c>
      <c r="H148" s="26">
        <f t="shared" si="49"/>
        <v>46</v>
      </c>
      <c r="I148" s="29">
        <f t="shared" si="50"/>
        <v>44835</v>
      </c>
      <c r="J148" s="33">
        <f t="shared" si="51"/>
        <v>152485.03018927571</v>
      </c>
      <c r="K148" s="33">
        <f t="shared" si="52"/>
        <v>91275.620025634766</v>
      </c>
      <c r="L148" s="19">
        <f t="shared" si="53"/>
        <v>1.7814811085174918</v>
      </c>
      <c r="M148" s="19">
        <f t="shared" si="54"/>
        <v>1.7814811085174918</v>
      </c>
      <c r="N148" s="33">
        <f t="shared" si="55"/>
        <v>162605.79274388918</v>
      </c>
      <c r="O148" s="33">
        <f t="shared" si="56"/>
        <v>230869.1297195277</v>
      </c>
      <c r="P148" s="35">
        <f t="shared" si="57"/>
        <v>0.40141258514139583</v>
      </c>
      <c r="Q148" s="35">
        <f t="shared" si="58"/>
        <v>6.6372171366925831E-2</v>
      </c>
      <c r="R148" s="35">
        <f t="shared" si="59"/>
        <v>0.51404455527834991</v>
      </c>
      <c r="S148" s="35">
        <f t="shared" si="60"/>
        <v>-0.40141258514139577</v>
      </c>
      <c r="T148" s="35">
        <f t="shared" si="61"/>
        <v>6.6372171366925858E-2</v>
      </c>
      <c r="U148" s="35">
        <f t="shared" si="62"/>
        <v>0.51404455527834991</v>
      </c>
    </row>
    <row r="149" spans="1:21" x14ac:dyDescent="0.25">
      <c r="A149" s="26">
        <f t="shared" si="42"/>
        <v>18</v>
      </c>
      <c r="B149" s="26">
        <f t="shared" si="43"/>
        <v>5</v>
      </c>
      <c r="C149" s="26">
        <f t="shared" si="44"/>
        <v>22</v>
      </c>
      <c r="D149" s="26">
        <f t="shared" si="45"/>
        <v>1</v>
      </c>
      <c r="E149" s="26">
        <f t="shared" si="46"/>
        <v>10</v>
      </c>
      <c r="F149" s="26">
        <f t="shared" si="47"/>
        <v>42</v>
      </c>
      <c r="G149" s="29">
        <f t="shared" si="48"/>
        <v>44743</v>
      </c>
      <c r="H149" s="26">
        <f t="shared" si="49"/>
        <v>47</v>
      </c>
      <c r="I149" s="29">
        <f t="shared" si="50"/>
        <v>44866</v>
      </c>
      <c r="J149" s="33">
        <f t="shared" si="51"/>
        <v>155504.0401403904</v>
      </c>
      <c r="K149" s="33">
        <f t="shared" si="52"/>
        <v>94327.220094442368</v>
      </c>
      <c r="L149" s="19">
        <f t="shared" si="53"/>
        <v>1.7814811085174918</v>
      </c>
      <c r="M149" s="19">
        <f t="shared" si="54"/>
        <v>1.7814811085174918</v>
      </c>
      <c r="N149" s="33">
        <f t="shared" si="55"/>
        <v>168042.16061722062</v>
      </c>
      <c r="O149" s="33">
        <f t="shared" si="56"/>
        <v>272968.23418864119</v>
      </c>
      <c r="P149" s="35">
        <f t="shared" si="57"/>
        <v>0.39340984318296207</v>
      </c>
      <c r="Q149" s="35">
        <f t="shared" si="58"/>
        <v>8.0628904982215921E-2</v>
      </c>
      <c r="R149" s="35">
        <f t="shared" si="59"/>
        <v>0.75537712037708538</v>
      </c>
      <c r="S149" s="35">
        <f t="shared" si="60"/>
        <v>-0.39340984318296213</v>
      </c>
      <c r="T149" s="35">
        <f t="shared" si="61"/>
        <v>8.0628904982215976E-2</v>
      </c>
      <c r="U149" s="35">
        <f t="shared" si="62"/>
        <v>0.75537712037708538</v>
      </c>
    </row>
    <row r="150" spans="1:21" x14ac:dyDescent="0.25">
      <c r="A150" s="26">
        <f t="shared" si="42"/>
        <v>18</v>
      </c>
      <c r="B150" s="26">
        <f t="shared" si="43"/>
        <v>6</v>
      </c>
      <c r="C150" s="26">
        <f t="shared" si="44"/>
        <v>22</v>
      </c>
      <c r="D150" s="26">
        <f t="shared" si="45"/>
        <v>1</v>
      </c>
      <c r="E150" s="26">
        <f t="shared" si="46"/>
        <v>10</v>
      </c>
      <c r="F150" s="26">
        <f t="shared" si="47"/>
        <v>42</v>
      </c>
      <c r="G150" s="29">
        <f t="shared" si="48"/>
        <v>44743</v>
      </c>
      <c r="H150" s="26">
        <f t="shared" si="49"/>
        <v>48</v>
      </c>
      <c r="I150" s="29">
        <f t="shared" si="50"/>
        <v>44896</v>
      </c>
      <c r="J150" s="33">
        <f t="shared" si="51"/>
        <v>160734.2702050395</v>
      </c>
      <c r="K150" s="33">
        <f t="shared" si="52"/>
        <v>95950.710146665573</v>
      </c>
      <c r="L150" s="19">
        <f t="shared" si="53"/>
        <v>1.7814811085174918</v>
      </c>
      <c r="M150" s="19">
        <f t="shared" si="54"/>
        <v>1.7814811085174918</v>
      </c>
      <c r="N150" s="33">
        <f t="shared" si="55"/>
        <v>170934.37747512234</v>
      </c>
      <c r="O150" s="33">
        <f t="shared" si="56"/>
        <v>307984.49429728591</v>
      </c>
      <c r="P150" s="35">
        <f t="shared" si="57"/>
        <v>0.4030475888914869</v>
      </c>
      <c r="Q150" s="35">
        <f t="shared" si="58"/>
        <v>6.3459443073783484E-2</v>
      </c>
      <c r="R150" s="35">
        <f t="shared" si="59"/>
        <v>0.91610970021768057</v>
      </c>
      <c r="S150" s="35">
        <f t="shared" si="60"/>
        <v>-0.40304758889148684</v>
      </c>
      <c r="T150" s="35">
        <f t="shared" si="61"/>
        <v>6.3459443073783595E-2</v>
      </c>
      <c r="U150" s="35">
        <f t="shared" si="62"/>
        <v>0.91610970021768057</v>
      </c>
    </row>
    <row r="151" spans="1:21" x14ac:dyDescent="0.25">
      <c r="A151" s="26">
        <f t="shared" si="42"/>
        <v>18</v>
      </c>
      <c r="B151" s="26">
        <f t="shared" si="43"/>
        <v>7</v>
      </c>
      <c r="C151" s="26">
        <f t="shared" si="44"/>
        <v>22</v>
      </c>
      <c r="D151" s="26">
        <f t="shared" si="45"/>
        <v>1</v>
      </c>
      <c r="E151" s="26">
        <f t="shared" si="46"/>
        <v>10</v>
      </c>
      <c r="F151" s="26">
        <f t="shared" si="47"/>
        <v>42</v>
      </c>
      <c r="G151" s="29">
        <f t="shared" si="48"/>
        <v>44743</v>
      </c>
      <c r="H151" s="26">
        <f t="shared" si="49"/>
        <v>49</v>
      </c>
      <c r="I151" s="29">
        <f t="shared" si="50"/>
        <v>44927</v>
      </c>
      <c r="J151" s="33">
        <f t="shared" si="51"/>
        <v>188680.17009925839</v>
      </c>
      <c r="K151" s="33">
        <f t="shared" si="52"/>
        <v>113670.3201682568</v>
      </c>
      <c r="L151" s="19">
        <f t="shared" si="53"/>
        <v>1.7814811085174918</v>
      </c>
      <c r="M151" s="19">
        <f t="shared" si="54"/>
        <v>1.7814811085174918</v>
      </c>
      <c r="N151" s="33">
        <f t="shared" si="55"/>
        <v>202501.52797888432</v>
      </c>
      <c r="O151" s="33">
        <f t="shared" si="56"/>
        <v>410409.89450278872</v>
      </c>
      <c r="P151" s="35">
        <f t="shared" si="57"/>
        <v>0.39755025603136457</v>
      </c>
      <c r="Q151" s="35">
        <f t="shared" si="58"/>
        <v>7.3252837711323696E-2</v>
      </c>
      <c r="R151" s="35">
        <f t="shared" si="59"/>
        <v>1.1751617792526139</v>
      </c>
      <c r="S151" s="35">
        <f t="shared" si="60"/>
        <v>-0.39755025603136451</v>
      </c>
      <c r="T151" s="35">
        <f t="shared" si="61"/>
        <v>7.3252837711323737E-2</v>
      </c>
      <c r="U151" s="35">
        <f t="shared" si="62"/>
        <v>1.1751617792526137</v>
      </c>
    </row>
    <row r="152" spans="1:21" x14ac:dyDescent="0.25">
      <c r="A152" s="37">
        <f t="shared" si="42"/>
        <v>18</v>
      </c>
      <c r="B152" s="37">
        <f t="shared" si="43"/>
        <v>8</v>
      </c>
      <c r="C152" s="37">
        <f t="shared" si="44"/>
        <v>22</v>
      </c>
      <c r="D152" s="37">
        <f t="shared" si="45"/>
        <v>1</v>
      </c>
      <c r="E152" s="37">
        <f t="shared" si="46"/>
        <v>10</v>
      </c>
      <c r="F152" s="37">
        <f t="shared" si="47"/>
        <v>42</v>
      </c>
      <c r="G152" s="38">
        <f t="shared" si="48"/>
        <v>44743</v>
      </c>
      <c r="H152" s="37">
        <f t="shared" si="49"/>
        <v>50</v>
      </c>
      <c r="I152" s="38">
        <f t="shared" si="50"/>
        <v>44958</v>
      </c>
      <c r="J152" s="39">
        <f t="shared" si="51"/>
        <v>167409.8501970768</v>
      </c>
      <c r="K152" s="39">
        <f t="shared" si="52"/>
        <v>98015.390212059021</v>
      </c>
      <c r="L152" s="40">
        <f t="shared" si="53"/>
        <v>1.7814811085174918</v>
      </c>
      <c r="M152" s="40">
        <f t="shared" si="54"/>
        <v>1.7814811085174918</v>
      </c>
      <c r="N152" s="39">
        <f t="shared" si="55"/>
        <v>174612.56600675342</v>
      </c>
      <c r="O152" s="39">
        <f t="shared" si="56"/>
        <v>412291.53239816381</v>
      </c>
      <c r="P152" s="41">
        <f t="shared" si="57"/>
        <v>0.41451838050942535</v>
      </c>
      <c r="Q152" s="41">
        <f t="shared" si="58"/>
        <v>4.3024444506685251E-2</v>
      </c>
      <c r="R152" s="41">
        <f t="shared" si="59"/>
        <v>1.4627674650733484</v>
      </c>
      <c r="S152" s="41">
        <f t="shared" si="60"/>
        <v>-0.41451838050942535</v>
      </c>
      <c r="T152" s="41">
        <f t="shared" si="61"/>
        <v>4.3024444506685189E-2</v>
      </c>
      <c r="U152" s="41">
        <f t="shared" si="62"/>
        <v>1.4627674650733482</v>
      </c>
    </row>
    <row r="153" spans="1:21" x14ac:dyDescent="0.25">
      <c r="A153" s="26">
        <f t="shared" si="42"/>
        <v>19</v>
      </c>
      <c r="B153" s="26">
        <f t="shared" si="43"/>
        <v>1</v>
      </c>
      <c r="C153" s="26">
        <f t="shared" si="44"/>
        <v>21</v>
      </c>
      <c r="D153" s="26">
        <f t="shared" si="45"/>
        <v>1</v>
      </c>
      <c r="E153" s="26">
        <f t="shared" si="46"/>
        <v>11</v>
      </c>
      <c r="F153" s="26">
        <f t="shared" si="47"/>
        <v>43</v>
      </c>
      <c r="G153" s="29">
        <f t="shared" si="48"/>
        <v>44774</v>
      </c>
      <c r="H153" s="26">
        <f t="shared" si="49"/>
        <v>44</v>
      </c>
      <c r="I153" s="29">
        <f t="shared" si="50"/>
        <v>44774</v>
      </c>
      <c r="J153" s="33">
        <f t="shared" si="51"/>
        <v>142612.7901010513</v>
      </c>
      <c r="K153" s="33">
        <f t="shared" si="52"/>
        <v>80303.24014878273</v>
      </c>
      <c r="L153" s="19">
        <f t="shared" si="53"/>
        <v>1.7162160804271862</v>
      </c>
      <c r="M153" s="19">
        <f t="shared" si="54"/>
        <v>1.7162160804271862</v>
      </c>
      <c r="N153" s="33">
        <f t="shared" si="55"/>
        <v>137817.71205374695</v>
      </c>
      <c r="O153" s="33">
        <f t="shared" si="56"/>
        <v>138218.69798474471</v>
      </c>
      <c r="P153" s="35">
        <f t="shared" si="57"/>
        <v>0.43691417795078424</v>
      </c>
      <c r="Q153" s="35">
        <f t="shared" si="58"/>
        <v>3.3623057538574926E-2</v>
      </c>
      <c r="R153" s="35">
        <f t="shared" si="59"/>
        <v>3.0811346676501226E-2</v>
      </c>
      <c r="S153" s="35">
        <f t="shared" si="60"/>
        <v>-0.43691417795078424</v>
      </c>
      <c r="T153" s="35">
        <f t="shared" si="61"/>
        <v>-3.3623057538574974E-2</v>
      </c>
      <c r="U153" s="35">
        <f t="shared" si="62"/>
        <v>-3.0811346676501206E-2</v>
      </c>
    </row>
    <row r="154" spans="1:21" x14ac:dyDescent="0.25">
      <c r="A154" s="26">
        <f t="shared" si="42"/>
        <v>19</v>
      </c>
      <c r="B154" s="26">
        <f t="shared" si="43"/>
        <v>2</v>
      </c>
      <c r="C154" s="26">
        <f t="shared" si="44"/>
        <v>21</v>
      </c>
      <c r="D154" s="26">
        <f t="shared" si="45"/>
        <v>1</v>
      </c>
      <c r="E154" s="26">
        <f t="shared" si="46"/>
        <v>11</v>
      </c>
      <c r="F154" s="26">
        <f t="shared" si="47"/>
        <v>43</v>
      </c>
      <c r="G154" s="29">
        <f t="shared" si="48"/>
        <v>44774</v>
      </c>
      <c r="H154" s="26">
        <f t="shared" si="49"/>
        <v>45</v>
      </c>
      <c r="I154" s="29">
        <f t="shared" si="50"/>
        <v>44805</v>
      </c>
      <c r="J154" s="33">
        <f t="shared" si="51"/>
        <v>137519.58025622371</v>
      </c>
      <c r="K154" s="33">
        <f t="shared" si="52"/>
        <v>84924.860115528107</v>
      </c>
      <c r="L154" s="19">
        <f t="shared" si="53"/>
        <v>1.7162160804271862</v>
      </c>
      <c r="M154" s="19">
        <f t="shared" si="54"/>
        <v>1.7162160804271862</v>
      </c>
      <c r="N154" s="33">
        <f t="shared" si="55"/>
        <v>145749.41055829872</v>
      </c>
      <c r="O154" s="33">
        <f t="shared" si="56"/>
        <v>134410.1919767326</v>
      </c>
      <c r="P154" s="35">
        <f t="shared" si="57"/>
        <v>0.38245259360668626</v>
      </c>
      <c r="Q154" s="35">
        <f t="shared" si="58"/>
        <v>5.9844789278307595E-2</v>
      </c>
      <c r="R154" s="35">
        <f t="shared" si="59"/>
        <v>2.2610513162545687E-2</v>
      </c>
      <c r="S154" s="35">
        <f t="shared" si="60"/>
        <v>-0.38245259360668626</v>
      </c>
      <c r="T154" s="35">
        <f t="shared" si="61"/>
        <v>5.9844789278307609E-2</v>
      </c>
      <c r="U154" s="35">
        <f t="shared" si="62"/>
        <v>-2.2610513162545698E-2</v>
      </c>
    </row>
    <row r="155" spans="1:21" x14ac:dyDescent="0.25">
      <c r="A155" s="26">
        <f t="shared" si="42"/>
        <v>19</v>
      </c>
      <c r="B155" s="26">
        <f t="shared" si="43"/>
        <v>3</v>
      </c>
      <c r="C155" s="26">
        <f t="shared" si="44"/>
        <v>21</v>
      </c>
      <c r="D155" s="26">
        <f t="shared" si="45"/>
        <v>1</v>
      </c>
      <c r="E155" s="26">
        <f t="shared" si="46"/>
        <v>11</v>
      </c>
      <c r="F155" s="26">
        <f t="shared" si="47"/>
        <v>43</v>
      </c>
      <c r="G155" s="29">
        <f t="shared" si="48"/>
        <v>44774</v>
      </c>
      <c r="H155" s="26">
        <f t="shared" si="49"/>
        <v>46</v>
      </c>
      <c r="I155" s="29">
        <f t="shared" si="50"/>
        <v>44835</v>
      </c>
      <c r="J155" s="33">
        <f t="shared" si="51"/>
        <v>152485.03018927571</v>
      </c>
      <c r="K155" s="33">
        <f t="shared" si="52"/>
        <v>91275.620025634766</v>
      </c>
      <c r="L155" s="19">
        <f t="shared" si="53"/>
        <v>1.7162160804271862</v>
      </c>
      <c r="M155" s="19">
        <f t="shared" si="54"/>
        <v>1.7162160804271862</v>
      </c>
      <c r="N155" s="33">
        <f t="shared" si="55"/>
        <v>156648.68683895608</v>
      </c>
      <c r="O155" s="33">
        <f t="shared" si="56"/>
        <v>150678.33260191599</v>
      </c>
      <c r="P155" s="35">
        <f t="shared" si="57"/>
        <v>0.40141258514139583</v>
      </c>
      <c r="Q155" s="35">
        <f t="shared" si="58"/>
        <v>2.7305346921675737E-2</v>
      </c>
      <c r="R155" s="35">
        <f t="shared" si="59"/>
        <v>1.1848360361126065E-2</v>
      </c>
      <c r="S155" s="35">
        <f t="shared" si="60"/>
        <v>-0.40141258514139577</v>
      </c>
      <c r="T155" s="35">
        <f t="shared" si="61"/>
        <v>2.7305346921675744E-2</v>
      </c>
      <c r="U155" s="35">
        <f t="shared" si="62"/>
        <v>-1.184836036112602E-2</v>
      </c>
    </row>
    <row r="156" spans="1:21" x14ac:dyDescent="0.25">
      <c r="A156" s="26">
        <f t="shared" si="42"/>
        <v>19</v>
      </c>
      <c r="B156" s="26">
        <f t="shared" si="43"/>
        <v>4</v>
      </c>
      <c r="C156" s="26">
        <f t="shared" si="44"/>
        <v>21</v>
      </c>
      <c r="D156" s="26">
        <f t="shared" si="45"/>
        <v>1</v>
      </c>
      <c r="E156" s="26">
        <f t="shared" si="46"/>
        <v>11</v>
      </c>
      <c r="F156" s="26">
        <f t="shared" si="47"/>
        <v>43</v>
      </c>
      <c r="G156" s="29">
        <f t="shared" si="48"/>
        <v>44774</v>
      </c>
      <c r="H156" s="26">
        <f t="shared" si="49"/>
        <v>47</v>
      </c>
      <c r="I156" s="29">
        <f t="shared" si="50"/>
        <v>44866</v>
      </c>
      <c r="J156" s="33">
        <f t="shared" si="51"/>
        <v>155504.0401403904</v>
      </c>
      <c r="K156" s="33">
        <f t="shared" si="52"/>
        <v>94327.220094442368</v>
      </c>
      <c r="L156" s="19">
        <f t="shared" si="53"/>
        <v>1.7162160804271862</v>
      </c>
      <c r="M156" s="19">
        <f t="shared" si="54"/>
        <v>1.7162160804271862</v>
      </c>
      <c r="N156" s="33">
        <f t="shared" si="55"/>
        <v>161885.8919480764</v>
      </c>
      <c r="O156" s="33">
        <f t="shared" si="56"/>
        <v>162257.16882260091</v>
      </c>
      <c r="P156" s="35">
        <f t="shared" si="57"/>
        <v>0.39340984318296207</v>
      </c>
      <c r="Q156" s="35">
        <f t="shared" si="58"/>
        <v>4.1039781358249046E-2</v>
      </c>
      <c r="R156" s="35">
        <f t="shared" si="59"/>
        <v>4.3427351958918461E-2</v>
      </c>
      <c r="S156" s="35">
        <f t="shared" si="60"/>
        <v>-0.39340984318296213</v>
      </c>
      <c r="T156" s="35">
        <f t="shared" si="61"/>
        <v>4.1039781358249039E-2</v>
      </c>
      <c r="U156" s="35">
        <f t="shared" si="62"/>
        <v>4.3427351958918559E-2</v>
      </c>
    </row>
    <row r="157" spans="1:21" x14ac:dyDescent="0.25">
      <c r="A157" s="26">
        <f t="shared" si="42"/>
        <v>19</v>
      </c>
      <c r="B157" s="26">
        <f t="shared" si="43"/>
        <v>5</v>
      </c>
      <c r="C157" s="26">
        <f t="shared" si="44"/>
        <v>21</v>
      </c>
      <c r="D157" s="26">
        <f t="shared" si="45"/>
        <v>1</v>
      </c>
      <c r="E157" s="26">
        <f t="shared" si="46"/>
        <v>11</v>
      </c>
      <c r="F157" s="26">
        <f t="shared" si="47"/>
        <v>43</v>
      </c>
      <c r="G157" s="29">
        <f t="shared" si="48"/>
        <v>44774</v>
      </c>
      <c r="H157" s="26">
        <f t="shared" si="49"/>
        <v>48</v>
      </c>
      <c r="I157" s="29">
        <f t="shared" si="50"/>
        <v>44896</v>
      </c>
      <c r="J157" s="33">
        <f t="shared" si="51"/>
        <v>160734.2702050395</v>
      </c>
      <c r="K157" s="33">
        <f t="shared" si="52"/>
        <v>95950.710146665573</v>
      </c>
      <c r="L157" s="19">
        <f t="shared" si="53"/>
        <v>1.7162160804271862</v>
      </c>
      <c r="M157" s="19">
        <f t="shared" si="54"/>
        <v>1.7162160804271862</v>
      </c>
      <c r="N157" s="33">
        <f t="shared" si="55"/>
        <v>164672.15168211542</v>
      </c>
      <c r="O157" s="33">
        <f t="shared" si="56"/>
        <v>166828.46829651599</v>
      </c>
      <c r="P157" s="35">
        <f t="shared" si="57"/>
        <v>0.4030475888914869</v>
      </c>
      <c r="Q157" s="35">
        <f t="shared" si="58"/>
        <v>2.4499327194210607E-2</v>
      </c>
      <c r="R157" s="35">
        <f t="shared" si="59"/>
        <v>3.7914740171479715E-2</v>
      </c>
      <c r="S157" s="35">
        <f t="shared" si="60"/>
        <v>-0.40304758889148684</v>
      </c>
      <c r="T157" s="35">
        <f t="shared" si="61"/>
        <v>2.4499327194210663E-2</v>
      </c>
      <c r="U157" s="35">
        <f t="shared" si="62"/>
        <v>3.7914740171479666E-2</v>
      </c>
    </row>
    <row r="158" spans="1:21" x14ac:dyDescent="0.25">
      <c r="A158" s="26">
        <f t="shared" si="42"/>
        <v>19</v>
      </c>
      <c r="B158" s="26">
        <f t="shared" si="43"/>
        <v>6</v>
      </c>
      <c r="C158" s="26">
        <f t="shared" si="44"/>
        <v>21</v>
      </c>
      <c r="D158" s="26">
        <f t="shared" si="45"/>
        <v>1</v>
      </c>
      <c r="E158" s="26">
        <f t="shared" si="46"/>
        <v>11</v>
      </c>
      <c r="F158" s="26">
        <f t="shared" si="47"/>
        <v>43</v>
      </c>
      <c r="G158" s="29">
        <f t="shared" si="48"/>
        <v>44774</v>
      </c>
      <c r="H158" s="26">
        <f t="shared" si="49"/>
        <v>49</v>
      </c>
      <c r="I158" s="29">
        <f t="shared" si="50"/>
        <v>44927</v>
      </c>
      <c r="J158" s="33">
        <f t="shared" si="51"/>
        <v>188680.17009925839</v>
      </c>
      <c r="K158" s="33">
        <f t="shared" si="52"/>
        <v>113670.3201682568</v>
      </c>
      <c r="L158" s="19">
        <f t="shared" si="53"/>
        <v>1.7162160804271862</v>
      </c>
      <c r="M158" s="19">
        <f t="shared" si="54"/>
        <v>1.7162160804271862</v>
      </c>
      <c r="N158" s="33">
        <f t="shared" si="55"/>
        <v>195082.83134006904</v>
      </c>
      <c r="O158" s="33">
        <f t="shared" si="56"/>
        <v>202958.32419504819</v>
      </c>
      <c r="P158" s="35">
        <f t="shared" si="57"/>
        <v>0.39755025603136457</v>
      </c>
      <c r="Q158" s="35">
        <f t="shared" si="58"/>
        <v>3.3933938248213454E-2</v>
      </c>
      <c r="R158" s="35">
        <f t="shared" si="59"/>
        <v>7.5673845790358005E-2</v>
      </c>
      <c r="S158" s="35">
        <f t="shared" si="60"/>
        <v>-0.39755025603136451</v>
      </c>
      <c r="T158" s="35">
        <f t="shared" si="61"/>
        <v>3.3933938248213558E-2</v>
      </c>
      <c r="U158" s="35">
        <f t="shared" si="62"/>
        <v>7.5673845790358074E-2</v>
      </c>
    </row>
    <row r="159" spans="1:21" x14ac:dyDescent="0.25">
      <c r="A159" s="26">
        <f t="shared" si="42"/>
        <v>19</v>
      </c>
      <c r="B159" s="26">
        <f t="shared" si="43"/>
        <v>7</v>
      </c>
      <c r="C159" s="26">
        <f t="shared" si="44"/>
        <v>21</v>
      </c>
      <c r="D159" s="26">
        <f t="shared" si="45"/>
        <v>1</v>
      </c>
      <c r="E159" s="26">
        <f t="shared" si="46"/>
        <v>11</v>
      </c>
      <c r="F159" s="26">
        <f t="shared" si="47"/>
        <v>43</v>
      </c>
      <c r="G159" s="29">
        <f t="shared" si="48"/>
        <v>44774</v>
      </c>
      <c r="H159" s="26">
        <f t="shared" si="49"/>
        <v>50</v>
      </c>
      <c r="I159" s="29">
        <f t="shared" si="50"/>
        <v>44958</v>
      </c>
      <c r="J159" s="33">
        <f t="shared" si="51"/>
        <v>167409.8501970768</v>
      </c>
      <c r="K159" s="33">
        <f t="shared" si="52"/>
        <v>98015.390212059021</v>
      </c>
      <c r="L159" s="19">
        <f t="shared" si="53"/>
        <v>1.7162160804271862</v>
      </c>
      <c r="M159" s="19">
        <f t="shared" si="54"/>
        <v>1.7162160804271862</v>
      </c>
      <c r="N159" s="33">
        <f t="shared" si="55"/>
        <v>168215.58881128114</v>
      </c>
      <c r="O159" s="33">
        <f t="shared" si="56"/>
        <v>189372.46667775989</v>
      </c>
      <c r="P159" s="35">
        <f t="shared" si="57"/>
        <v>0.41451838050942535</v>
      </c>
      <c r="Q159" s="35">
        <f t="shared" si="58"/>
        <v>4.8129701642753691E-3</v>
      </c>
      <c r="R159" s="35">
        <f t="shared" si="59"/>
        <v>0.13119070625072807</v>
      </c>
      <c r="S159" s="35">
        <f t="shared" si="60"/>
        <v>-0.41451838050942535</v>
      </c>
      <c r="T159" s="35">
        <f t="shared" si="61"/>
        <v>4.8129701642753986E-3</v>
      </c>
      <c r="U159" s="35">
        <f t="shared" si="62"/>
        <v>0.13119070625072804</v>
      </c>
    </row>
    <row r="160" spans="1:21" x14ac:dyDescent="0.25">
      <c r="A160" s="37">
        <f t="shared" si="42"/>
        <v>19</v>
      </c>
      <c r="B160" s="37">
        <f t="shared" si="43"/>
        <v>8</v>
      </c>
      <c r="C160" s="37">
        <f t="shared" si="44"/>
        <v>21</v>
      </c>
      <c r="D160" s="37">
        <f t="shared" si="45"/>
        <v>1</v>
      </c>
      <c r="E160" s="37">
        <f t="shared" si="46"/>
        <v>11</v>
      </c>
      <c r="F160" s="37">
        <f t="shared" si="47"/>
        <v>43</v>
      </c>
      <c r="G160" s="38">
        <f t="shared" si="48"/>
        <v>44774</v>
      </c>
      <c r="H160" s="37">
        <f t="shared" si="49"/>
        <v>51</v>
      </c>
      <c r="I160" s="38">
        <f t="shared" si="50"/>
        <v>44986</v>
      </c>
      <c r="J160" s="39">
        <f t="shared" si="51"/>
        <v>184777.90021240711</v>
      </c>
      <c r="K160" s="39">
        <f t="shared" si="52"/>
        <v>119287.8302438259</v>
      </c>
      <c r="L160" s="40">
        <f t="shared" si="53"/>
        <v>1.7162160804271862</v>
      </c>
      <c r="M160" s="40">
        <f t="shared" si="54"/>
        <v>1.7162160804271862</v>
      </c>
      <c r="N160" s="39">
        <f t="shared" si="55"/>
        <v>204723.69246372243</v>
      </c>
      <c r="O160" s="39">
        <f t="shared" si="56"/>
        <v>262472.86998215981</v>
      </c>
      <c r="P160" s="41">
        <f t="shared" si="57"/>
        <v>0.35442588043969886</v>
      </c>
      <c r="Q160" s="41">
        <f t="shared" si="58"/>
        <v>0.10794468509701159</v>
      </c>
      <c r="R160" s="41">
        <f t="shared" si="59"/>
        <v>0.4204776095000553</v>
      </c>
      <c r="S160" s="41">
        <f t="shared" si="60"/>
        <v>-0.35442588043969891</v>
      </c>
      <c r="T160" s="41">
        <f t="shared" si="61"/>
        <v>0.10794468509701161</v>
      </c>
      <c r="U160" s="41">
        <f t="shared" si="62"/>
        <v>0.4204776095000553</v>
      </c>
    </row>
    <row r="161" spans="1:21" x14ac:dyDescent="0.25">
      <c r="A161" s="26">
        <f t="shared" si="42"/>
        <v>20</v>
      </c>
      <c r="B161" s="26">
        <f t="shared" si="43"/>
        <v>1</v>
      </c>
      <c r="C161" s="26">
        <f t="shared" si="44"/>
        <v>20</v>
      </c>
      <c r="D161" s="26">
        <f t="shared" si="45"/>
        <v>1</v>
      </c>
      <c r="E161" s="26">
        <f t="shared" si="46"/>
        <v>12</v>
      </c>
      <c r="F161" s="26">
        <f t="shared" si="47"/>
        <v>44</v>
      </c>
      <c r="G161" s="29">
        <f t="shared" si="48"/>
        <v>44805</v>
      </c>
      <c r="H161" s="26">
        <f t="shared" si="49"/>
        <v>45</v>
      </c>
      <c r="I161" s="29">
        <f t="shared" si="50"/>
        <v>44805</v>
      </c>
      <c r="J161" s="33">
        <f t="shared" si="51"/>
        <v>137519.58025622371</v>
      </c>
      <c r="K161" s="33">
        <f t="shared" si="52"/>
        <v>84924.860115528107</v>
      </c>
      <c r="L161" s="19">
        <f t="shared" si="53"/>
        <v>1.7759282170535566</v>
      </c>
      <c r="M161" s="19">
        <f t="shared" si="54"/>
        <v>1.7759282170535566</v>
      </c>
      <c r="N161" s="33">
        <f t="shared" si="55"/>
        <v>150820.45540849253</v>
      </c>
      <c r="O161" s="33">
        <f t="shared" si="56"/>
        <v>141090.06211981879</v>
      </c>
      <c r="P161" s="35">
        <f t="shared" si="57"/>
        <v>0.38245259360668626</v>
      </c>
      <c r="Q161" s="35">
        <f t="shared" si="58"/>
        <v>9.671986438212582E-2</v>
      </c>
      <c r="R161" s="35">
        <f t="shared" si="59"/>
        <v>2.5963443583398305E-2</v>
      </c>
      <c r="S161" s="35">
        <f t="shared" si="60"/>
        <v>-0.38245259360668626</v>
      </c>
      <c r="T161" s="35">
        <f t="shared" si="61"/>
        <v>9.6719864382125875E-2</v>
      </c>
      <c r="U161" s="35">
        <f t="shared" si="62"/>
        <v>2.5963443583398416E-2</v>
      </c>
    </row>
    <row r="162" spans="1:21" x14ac:dyDescent="0.25">
      <c r="A162" s="26">
        <f t="shared" si="42"/>
        <v>20</v>
      </c>
      <c r="B162" s="26">
        <f t="shared" si="43"/>
        <v>2</v>
      </c>
      <c r="C162" s="26">
        <f t="shared" si="44"/>
        <v>20</v>
      </c>
      <c r="D162" s="26">
        <f t="shared" si="45"/>
        <v>1</v>
      </c>
      <c r="E162" s="26">
        <f t="shared" si="46"/>
        <v>12</v>
      </c>
      <c r="F162" s="26">
        <f t="shared" si="47"/>
        <v>44</v>
      </c>
      <c r="G162" s="29">
        <f t="shared" si="48"/>
        <v>44805</v>
      </c>
      <c r="H162" s="26">
        <f t="shared" si="49"/>
        <v>46</v>
      </c>
      <c r="I162" s="29">
        <f t="shared" si="50"/>
        <v>44835</v>
      </c>
      <c r="J162" s="33">
        <f t="shared" si="51"/>
        <v>152485.03018927571</v>
      </c>
      <c r="K162" s="33">
        <f t="shared" si="52"/>
        <v>91275.620025634766</v>
      </c>
      <c r="L162" s="19">
        <f t="shared" si="53"/>
        <v>1.7759282170535566</v>
      </c>
      <c r="M162" s="19">
        <f t="shared" si="54"/>
        <v>1.7759282170535566</v>
      </c>
      <c r="N162" s="33">
        <f t="shared" si="55"/>
        <v>162098.94913258345</v>
      </c>
      <c r="O162" s="33">
        <f t="shared" si="56"/>
        <v>160842.8943729336</v>
      </c>
      <c r="P162" s="35">
        <f t="shared" si="57"/>
        <v>0.40141258514139583</v>
      </c>
      <c r="Q162" s="35">
        <f t="shared" si="58"/>
        <v>6.3048280420538547E-2</v>
      </c>
      <c r="R162" s="35">
        <f t="shared" si="59"/>
        <v>5.4811047178096699E-2</v>
      </c>
      <c r="S162" s="35">
        <f t="shared" si="60"/>
        <v>-0.40141258514139577</v>
      </c>
      <c r="T162" s="35">
        <f t="shared" si="61"/>
        <v>6.3048280420538561E-2</v>
      </c>
      <c r="U162" s="35">
        <f t="shared" si="62"/>
        <v>5.4811047178096706E-2</v>
      </c>
    </row>
    <row r="163" spans="1:21" x14ac:dyDescent="0.25">
      <c r="A163" s="26">
        <f t="shared" si="42"/>
        <v>20</v>
      </c>
      <c r="B163" s="26">
        <f t="shared" si="43"/>
        <v>3</v>
      </c>
      <c r="C163" s="26">
        <f t="shared" si="44"/>
        <v>20</v>
      </c>
      <c r="D163" s="26">
        <f t="shared" si="45"/>
        <v>1</v>
      </c>
      <c r="E163" s="26">
        <f t="shared" si="46"/>
        <v>12</v>
      </c>
      <c r="F163" s="26">
        <f t="shared" si="47"/>
        <v>44</v>
      </c>
      <c r="G163" s="29">
        <f t="shared" si="48"/>
        <v>44805</v>
      </c>
      <c r="H163" s="26">
        <f t="shared" si="49"/>
        <v>47</v>
      </c>
      <c r="I163" s="29">
        <f t="shared" si="50"/>
        <v>44866</v>
      </c>
      <c r="J163" s="33">
        <f t="shared" si="51"/>
        <v>155504.0401403904</v>
      </c>
      <c r="K163" s="33">
        <f t="shared" si="52"/>
        <v>94327.220094442368</v>
      </c>
      <c r="L163" s="19">
        <f t="shared" si="53"/>
        <v>1.7759282170535566</v>
      </c>
      <c r="M163" s="19">
        <f t="shared" si="54"/>
        <v>1.7759282170535566</v>
      </c>
      <c r="N163" s="33">
        <f t="shared" si="55"/>
        <v>167518.37180194145</v>
      </c>
      <c r="O163" s="33">
        <f t="shared" si="56"/>
        <v>176058.071584413</v>
      </c>
      <c r="P163" s="35">
        <f t="shared" si="57"/>
        <v>0.39340984318296207</v>
      </c>
      <c r="Q163" s="35">
        <f t="shared" si="58"/>
        <v>7.726057567831944E-2</v>
      </c>
      <c r="R163" s="35">
        <f t="shared" si="59"/>
        <v>0.13217683235410635</v>
      </c>
      <c r="S163" s="35">
        <f t="shared" si="60"/>
        <v>-0.39340984318296213</v>
      </c>
      <c r="T163" s="35">
        <f t="shared" si="61"/>
        <v>7.7260575678319343E-2</v>
      </c>
      <c r="U163" s="35">
        <f t="shared" si="62"/>
        <v>0.13217683235410638</v>
      </c>
    </row>
    <row r="164" spans="1:21" x14ac:dyDescent="0.25">
      <c r="A164" s="26">
        <f t="shared" si="42"/>
        <v>20</v>
      </c>
      <c r="B164" s="26">
        <f t="shared" si="43"/>
        <v>4</v>
      </c>
      <c r="C164" s="26">
        <f t="shared" si="44"/>
        <v>20</v>
      </c>
      <c r="D164" s="26">
        <f t="shared" si="45"/>
        <v>1</v>
      </c>
      <c r="E164" s="26">
        <f t="shared" si="46"/>
        <v>12</v>
      </c>
      <c r="F164" s="26">
        <f t="shared" si="47"/>
        <v>44</v>
      </c>
      <c r="G164" s="29">
        <f t="shared" si="48"/>
        <v>44805</v>
      </c>
      <c r="H164" s="26">
        <f t="shared" si="49"/>
        <v>48</v>
      </c>
      <c r="I164" s="29">
        <f t="shared" si="50"/>
        <v>44896</v>
      </c>
      <c r="J164" s="33">
        <f t="shared" si="51"/>
        <v>160734.2702050395</v>
      </c>
      <c r="K164" s="33">
        <f t="shared" si="52"/>
        <v>95950.710146665573</v>
      </c>
      <c r="L164" s="19">
        <f t="shared" si="53"/>
        <v>1.7759282170535566</v>
      </c>
      <c r="M164" s="19">
        <f t="shared" si="54"/>
        <v>1.7759282170535566</v>
      </c>
      <c r="N164" s="33">
        <f t="shared" si="55"/>
        <v>170401.5735957904</v>
      </c>
      <c r="O164" s="33">
        <f t="shared" si="56"/>
        <v>183924.60420138299</v>
      </c>
      <c r="P164" s="35">
        <f t="shared" si="57"/>
        <v>0.4030475888914869</v>
      </c>
      <c r="Q164" s="35">
        <f t="shared" si="58"/>
        <v>6.0144631125763466E-2</v>
      </c>
      <c r="R164" s="35">
        <f t="shared" si="59"/>
        <v>0.14427747092614976</v>
      </c>
      <c r="S164" s="35">
        <f t="shared" si="60"/>
        <v>-0.40304758889148684</v>
      </c>
      <c r="T164" s="35">
        <f t="shared" si="61"/>
        <v>6.0144631125763404E-2</v>
      </c>
      <c r="U164" s="35">
        <f t="shared" si="62"/>
        <v>0.14427747092614984</v>
      </c>
    </row>
    <row r="165" spans="1:21" x14ac:dyDescent="0.25">
      <c r="A165" s="26">
        <f t="shared" si="42"/>
        <v>20</v>
      </c>
      <c r="B165" s="26">
        <f t="shared" si="43"/>
        <v>5</v>
      </c>
      <c r="C165" s="26">
        <f t="shared" si="44"/>
        <v>20</v>
      </c>
      <c r="D165" s="26">
        <f t="shared" si="45"/>
        <v>1</v>
      </c>
      <c r="E165" s="26">
        <f t="shared" si="46"/>
        <v>12</v>
      </c>
      <c r="F165" s="26">
        <f t="shared" si="47"/>
        <v>44</v>
      </c>
      <c r="G165" s="29">
        <f t="shared" si="48"/>
        <v>44805</v>
      </c>
      <c r="H165" s="26">
        <f t="shared" si="49"/>
        <v>49</v>
      </c>
      <c r="I165" s="29">
        <f t="shared" si="50"/>
        <v>44927</v>
      </c>
      <c r="J165" s="33">
        <f t="shared" si="51"/>
        <v>188680.17009925839</v>
      </c>
      <c r="K165" s="33">
        <f t="shared" si="52"/>
        <v>113670.3201682568</v>
      </c>
      <c r="L165" s="19">
        <f t="shared" si="53"/>
        <v>1.7759282170535566</v>
      </c>
      <c r="M165" s="19">
        <f t="shared" si="54"/>
        <v>1.7759282170535566</v>
      </c>
      <c r="N165" s="33">
        <f t="shared" si="55"/>
        <v>201870.32902831925</v>
      </c>
      <c r="O165" s="33">
        <f t="shared" si="56"/>
        <v>227253.07525099989</v>
      </c>
      <c r="P165" s="35">
        <f t="shared" si="57"/>
        <v>0.39755025603136457</v>
      </c>
      <c r="Q165" s="35">
        <f t="shared" si="58"/>
        <v>6.9907499670590442E-2</v>
      </c>
      <c r="R165" s="35">
        <f t="shared" si="59"/>
        <v>0.20443539525881052</v>
      </c>
      <c r="S165" s="35">
        <f t="shared" si="60"/>
        <v>-0.39755025603136451</v>
      </c>
      <c r="T165" s="35">
        <f t="shared" si="61"/>
        <v>6.9907499670590401E-2</v>
      </c>
      <c r="U165" s="35">
        <f t="shared" si="62"/>
        <v>0.20443539525881049</v>
      </c>
    </row>
    <row r="166" spans="1:21" x14ac:dyDescent="0.25">
      <c r="A166" s="26">
        <f t="shared" si="42"/>
        <v>20</v>
      </c>
      <c r="B166" s="26">
        <f t="shared" si="43"/>
        <v>6</v>
      </c>
      <c r="C166" s="26">
        <f t="shared" si="44"/>
        <v>20</v>
      </c>
      <c r="D166" s="26">
        <f t="shared" si="45"/>
        <v>1</v>
      </c>
      <c r="E166" s="26">
        <f t="shared" si="46"/>
        <v>12</v>
      </c>
      <c r="F166" s="26">
        <f t="shared" si="47"/>
        <v>44</v>
      </c>
      <c r="G166" s="29">
        <f t="shared" si="48"/>
        <v>44805</v>
      </c>
      <c r="H166" s="26">
        <f t="shared" si="49"/>
        <v>50</v>
      </c>
      <c r="I166" s="29">
        <f t="shared" si="50"/>
        <v>44958</v>
      </c>
      <c r="J166" s="33">
        <f t="shared" si="51"/>
        <v>167409.8501970768</v>
      </c>
      <c r="K166" s="33">
        <f t="shared" si="52"/>
        <v>98015.390212059021</v>
      </c>
      <c r="L166" s="19">
        <f t="shared" si="53"/>
        <v>1.7759282170535566</v>
      </c>
      <c r="M166" s="19">
        <f t="shared" si="54"/>
        <v>1.7759282170535566</v>
      </c>
      <c r="N166" s="33">
        <f t="shared" si="55"/>
        <v>174068.29718311061</v>
      </c>
      <c r="O166" s="33">
        <f t="shared" si="56"/>
        <v>215265.62354785611</v>
      </c>
      <c r="P166" s="35">
        <f t="shared" si="57"/>
        <v>0.41451838050942535</v>
      </c>
      <c r="Q166" s="35">
        <f t="shared" si="58"/>
        <v>3.9773328619525157E-2</v>
      </c>
      <c r="R166" s="35">
        <f t="shared" si="59"/>
        <v>0.28585996161183436</v>
      </c>
      <c r="S166" s="35">
        <f t="shared" si="60"/>
        <v>-0.41451838050942535</v>
      </c>
      <c r="T166" s="35">
        <f t="shared" si="61"/>
        <v>3.9773328619525206E-2</v>
      </c>
      <c r="U166" s="35">
        <f t="shared" si="62"/>
        <v>0.28585996161183447</v>
      </c>
    </row>
    <row r="167" spans="1:21" x14ac:dyDescent="0.25">
      <c r="A167" s="26">
        <f t="shared" si="42"/>
        <v>20</v>
      </c>
      <c r="B167" s="26">
        <f t="shared" si="43"/>
        <v>7</v>
      </c>
      <c r="C167" s="26">
        <f t="shared" si="44"/>
        <v>20</v>
      </c>
      <c r="D167" s="26">
        <f t="shared" si="45"/>
        <v>1</v>
      </c>
      <c r="E167" s="26">
        <f t="shared" si="46"/>
        <v>12</v>
      </c>
      <c r="F167" s="26">
        <f t="shared" si="47"/>
        <v>44</v>
      </c>
      <c r="G167" s="29">
        <f t="shared" si="48"/>
        <v>44805</v>
      </c>
      <c r="H167" s="26">
        <f t="shared" si="49"/>
        <v>51</v>
      </c>
      <c r="I167" s="29">
        <f t="shared" si="50"/>
        <v>44986</v>
      </c>
      <c r="J167" s="33">
        <f t="shared" si="51"/>
        <v>184777.90021240711</v>
      </c>
      <c r="K167" s="33">
        <f t="shared" si="52"/>
        <v>119287.8302438259</v>
      </c>
      <c r="L167" s="19">
        <f t="shared" si="53"/>
        <v>1.7759282170535566</v>
      </c>
      <c r="M167" s="19">
        <f t="shared" si="54"/>
        <v>1.7759282170535566</v>
      </c>
      <c r="N167" s="33">
        <f t="shared" si="55"/>
        <v>211846.62368110506</v>
      </c>
      <c r="O167" s="33">
        <f t="shared" si="56"/>
        <v>302803.39312562218</v>
      </c>
      <c r="P167" s="35">
        <f t="shared" si="57"/>
        <v>0.35442588043969886</v>
      </c>
      <c r="Q167" s="35">
        <f t="shared" si="58"/>
        <v>0.14649329512664519</v>
      </c>
      <c r="R167" s="35">
        <f t="shared" si="59"/>
        <v>0.63874247286900454</v>
      </c>
      <c r="S167" s="35">
        <f t="shared" si="60"/>
        <v>-0.35442588043969891</v>
      </c>
      <c r="T167" s="35">
        <f t="shared" si="61"/>
        <v>0.14649329512664511</v>
      </c>
      <c r="U167" s="35">
        <f t="shared" si="62"/>
        <v>0.63874247286900454</v>
      </c>
    </row>
    <row r="168" spans="1:21" x14ac:dyDescent="0.25">
      <c r="A168" s="37">
        <f t="shared" si="42"/>
        <v>20</v>
      </c>
      <c r="B168" s="37">
        <f t="shared" si="43"/>
        <v>8</v>
      </c>
      <c r="C168" s="37">
        <f t="shared" si="44"/>
        <v>20</v>
      </c>
      <c r="D168" s="37">
        <f t="shared" si="45"/>
        <v>1</v>
      </c>
      <c r="E168" s="37">
        <f t="shared" si="46"/>
        <v>12</v>
      </c>
      <c r="F168" s="37">
        <f t="shared" si="47"/>
        <v>44</v>
      </c>
      <c r="G168" s="38">
        <f t="shared" si="48"/>
        <v>44805</v>
      </c>
      <c r="H168" s="37">
        <f t="shared" si="49"/>
        <v>52</v>
      </c>
      <c r="I168" s="38">
        <f t="shared" si="50"/>
        <v>45017</v>
      </c>
      <c r="J168" s="39">
        <f t="shared" si="51"/>
        <v>193149.96007275581</v>
      </c>
      <c r="K168" s="39">
        <f t="shared" si="52"/>
        <v>113637.6201777458</v>
      </c>
      <c r="L168" s="40">
        <f t="shared" si="53"/>
        <v>1.7759282170535566</v>
      </c>
      <c r="M168" s="40">
        <f t="shared" si="54"/>
        <v>1.7759282170535566</v>
      </c>
      <c r="N168" s="39">
        <f t="shared" si="55"/>
        <v>201812.25619247337</v>
      </c>
      <c r="O168" s="39">
        <f t="shared" si="56"/>
        <v>304363.33842942381</v>
      </c>
      <c r="P168" s="41">
        <f t="shared" si="57"/>
        <v>0.41166117696871002</v>
      </c>
      <c r="Q168" s="41">
        <f t="shared" si="58"/>
        <v>4.4847517009346742E-2</v>
      </c>
      <c r="R168" s="41">
        <f t="shared" si="59"/>
        <v>0.57578773671387806</v>
      </c>
      <c r="S168" s="41">
        <f t="shared" si="60"/>
        <v>-0.41166117696871007</v>
      </c>
      <c r="T168" s="41">
        <f t="shared" si="61"/>
        <v>4.4847517009346749E-2</v>
      </c>
      <c r="U168" s="41">
        <f t="shared" si="62"/>
        <v>0.57578773671387817</v>
      </c>
    </row>
    <row r="169" spans="1:21" x14ac:dyDescent="0.25">
      <c r="A169" s="26">
        <f t="shared" si="42"/>
        <v>21</v>
      </c>
      <c r="B169" s="26">
        <f t="shared" si="43"/>
        <v>1</v>
      </c>
      <c r="C169" s="26">
        <f t="shared" si="44"/>
        <v>19</v>
      </c>
      <c r="D169" s="26">
        <f t="shared" si="45"/>
        <v>1</v>
      </c>
      <c r="E169" s="26">
        <f t="shared" si="46"/>
        <v>13</v>
      </c>
      <c r="F169" s="26">
        <f t="shared" si="47"/>
        <v>45</v>
      </c>
      <c r="G169" s="29">
        <f t="shared" si="48"/>
        <v>44835</v>
      </c>
      <c r="H169" s="26">
        <f t="shared" si="49"/>
        <v>46</v>
      </c>
      <c r="I169" s="29">
        <f t="shared" si="50"/>
        <v>44835</v>
      </c>
      <c r="J169" s="33">
        <f t="shared" si="51"/>
        <v>152485.03018927571</v>
      </c>
      <c r="K169" s="33">
        <f t="shared" si="52"/>
        <v>91275.620025634766</v>
      </c>
      <c r="L169" s="19">
        <f t="shared" si="53"/>
        <v>1.6193088816295724</v>
      </c>
      <c r="M169" s="19">
        <f t="shared" si="54"/>
        <v>1.6193088816295724</v>
      </c>
      <c r="N169" s="33">
        <f t="shared" si="55"/>
        <v>147803.42218375643</v>
      </c>
      <c r="O169" s="33">
        <f t="shared" si="56"/>
        <v>154581.9116583445</v>
      </c>
      <c r="P169" s="35">
        <f t="shared" si="57"/>
        <v>0.40141258514139583</v>
      </c>
      <c r="Q169" s="35">
        <f t="shared" si="58"/>
        <v>3.0702082687776817E-2</v>
      </c>
      <c r="R169" s="35">
        <f t="shared" si="59"/>
        <v>1.3751392293827021E-2</v>
      </c>
      <c r="S169" s="35">
        <f t="shared" si="60"/>
        <v>-0.40141258514139577</v>
      </c>
      <c r="T169" s="35">
        <f t="shared" si="61"/>
        <v>-3.0702082687776855E-2</v>
      </c>
      <c r="U169" s="35">
        <f t="shared" si="62"/>
        <v>1.3751392293827047E-2</v>
      </c>
    </row>
    <row r="170" spans="1:21" x14ac:dyDescent="0.25">
      <c r="A170" s="26">
        <f t="shared" si="42"/>
        <v>21</v>
      </c>
      <c r="B170" s="26">
        <f t="shared" si="43"/>
        <v>2</v>
      </c>
      <c r="C170" s="26">
        <f t="shared" si="44"/>
        <v>19</v>
      </c>
      <c r="D170" s="26">
        <f t="shared" si="45"/>
        <v>1</v>
      </c>
      <c r="E170" s="26">
        <f t="shared" si="46"/>
        <v>13</v>
      </c>
      <c r="F170" s="26">
        <f t="shared" si="47"/>
        <v>45</v>
      </c>
      <c r="G170" s="29">
        <f t="shared" si="48"/>
        <v>44835</v>
      </c>
      <c r="H170" s="26">
        <f t="shared" si="49"/>
        <v>47</v>
      </c>
      <c r="I170" s="29">
        <f t="shared" si="50"/>
        <v>44866</v>
      </c>
      <c r="J170" s="33">
        <f t="shared" si="51"/>
        <v>155504.0401403904</v>
      </c>
      <c r="K170" s="33">
        <f t="shared" si="52"/>
        <v>94327.220094442368</v>
      </c>
      <c r="L170" s="19">
        <f t="shared" si="53"/>
        <v>1.6193088816295724</v>
      </c>
      <c r="M170" s="19">
        <f t="shared" si="54"/>
        <v>1.6193088816295724</v>
      </c>
      <c r="N170" s="33">
        <f t="shared" si="55"/>
        <v>152744.905278358</v>
      </c>
      <c r="O170" s="33">
        <f t="shared" si="56"/>
        <v>166897.73894820031</v>
      </c>
      <c r="P170" s="35">
        <f t="shared" si="57"/>
        <v>0.39340984318296207</v>
      </c>
      <c r="Q170" s="35">
        <f t="shared" si="58"/>
        <v>1.7743171557095417E-2</v>
      </c>
      <c r="R170" s="35">
        <f t="shared" si="59"/>
        <v>7.3269471310993456E-2</v>
      </c>
      <c r="S170" s="35">
        <f t="shared" si="60"/>
        <v>-0.39340984318296213</v>
      </c>
      <c r="T170" s="35">
        <f t="shared" si="61"/>
        <v>-1.7743171557095372E-2</v>
      </c>
      <c r="U170" s="35">
        <f t="shared" si="62"/>
        <v>7.3269471310993373E-2</v>
      </c>
    </row>
    <row r="171" spans="1:21" x14ac:dyDescent="0.25">
      <c r="A171" s="26">
        <f t="shared" si="42"/>
        <v>21</v>
      </c>
      <c r="B171" s="26">
        <f t="shared" si="43"/>
        <v>3</v>
      </c>
      <c r="C171" s="26">
        <f t="shared" si="44"/>
        <v>19</v>
      </c>
      <c r="D171" s="26">
        <f t="shared" si="45"/>
        <v>1</v>
      </c>
      <c r="E171" s="26">
        <f t="shared" si="46"/>
        <v>13</v>
      </c>
      <c r="F171" s="26">
        <f t="shared" si="47"/>
        <v>45</v>
      </c>
      <c r="G171" s="29">
        <f t="shared" si="48"/>
        <v>44835</v>
      </c>
      <c r="H171" s="26">
        <f t="shared" si="49"/>
        <v>48</v>
      </c>
      <c r="I171" s="29">
        <f t="shared" si="50"/>
        <v>44896</v>
      </c>
      <c r="J171" s="33">
        <f t="shared" si="51"/>
        <v>160734.2702050395</v>
      </c>
      <c r="K171" s="33">
        <f t="shared" si="52"/>
        <v>95950.710146665573</v>
      </c>
      <c r="L171" s="19">
        <f t="shared" si="53"/>
        <v>1.6193088816295724</v>
      </c>
      <c r="M171" s="19">
        <f t="shared" si="54"/>
        <v>1.6193088816295724</v>
      </c>
      <c r="N171" s="33">
        <f t="shared" si="55"/>
        <v>155373.83713916029</v>
      </c>
      <c r="O171" s="33">
        <f t="shared" si="56"/>
        <v>172035.1397871204</v>
      </c>
      <c r="P171" s="35">
        <f t="shared" si="57"/>
        <v>0.4030475888914869</v>
      </c>
      <c r="Q171" s="35">
        <f t="shared" si="58"/>
        <v>3.3349658781796937E-2</v>
      </c>
      <c r="R171" s="35">
        <f t="shared" si="59"/>
        <v>7.0307779216373836E-2</v>
      </c>
      <c r="S171" s="35">
        <f t="shared" si="60"/>
        <v>-0.40304758889148684</v>
      </c>
      <c r="T171" s="35">
        <f t="shared" si="61"/>
        <v>-3.3349658781796965E-2</v>
      </c>
      <c r="U171" s="35">
        <f t="shared" si="62"/>
        <v>7.0307779216373767E-2</v>
      </c>
    </row>
    <row r="172" spans="1:21" x14ac:dyDescent="0.25">
      <c r="A172" s="26">
        <f t="shared" si="42"/>
        <v>21</v>
      </c>
      <c r="B172" s="26">
        <f t="shared" si="43"/>
        <v>4</v>
      </c>
      <c r="C172" s="26">
        <f t="shared" si="44"/>
        <v>19</v>
      </c>
      <c r="D172" s="26">
        <f t="shared" si="45"/>
        <v>1</v>
      </c>
      <c r="E172" s="26">
        <f t="shared" si="46"/>
        <v>13</v>
      </c>
      <c r="F172" s="26">
        <f t="shared" si="47"/>
        <v>45</v>
      </c>
      <c r="G172" s="29">
        <f t="shared" si="48"/>
        <v>44835</v>
      </c>
      <c r="H172" s="26">
        <f t="shared" si="49"/>
        <v>49</v>
      </c>
      <c r="I172" s="29">
        <f t="shared" si="50"/>
        <v>44927</v>
      </c>
      <c r="J172" s="33">
        <f t="shared" si="51"/>
        <v>188680.17009925839</v>
      </c>
      <c r="K172" s="33">
        <f t="shared" si="52"/>
        <v>113670.3201682568</v>
      </c>
      <c r="L172" s="19">
        <f t="shared" si="53"/>
        <v>1.6193088816295724</v>
      </c>
      <c r="M172" s="19">
        <f t="shared" si="54"/>
        <v>1.6193088816295724</v>
      </c>
      <c r="N172" s="33">
        <f t="shared" si="55"/>
        <v>184067.35902613535</v>
      </c>
      <c r="O172" s="33">
        <f t="shared" si="56"/>
        <v>209806.54829630561</v>
      </c>
      <c r="P172" s="35">
        <f t="shared" si="57"/>
        <v>0.39755025603136457</v>
      </c>
      <c r="Q172" s="35">
        <f t="shared" si="58"/>
        <v>2.4447778856126711E-2</v>
      </c>
      <c r="R172" s="35">
        <f t="shared" si="59"/>
        <v>0.11196925562412484</v>
      </c>
      <c r="S172" s="35">
        <f t="shared" si="60"/>
        <v>-0.39755025603136451</v>
      </c>
      <c r="T172" s="35">
        <f t="shared" si="61"/>
        <v>-2.4447778856126701E-2</v>
      </c>
      <c r="U172" s="35">
        <f t="shared" si="62"/>
        <v>0.11196925562412474</v>
      </c>
    </row>
    <row r="173" spans="1:21" x14ac:dyDescent="0.25">
      <c r="A173" s="26">
        <f t="shared" si="42"/>
        <v>21</v>
      </c>
      <c r="B173" s="26">
        <f t="shared" si="43"/>
        <v>5</v>
      </c>
      <c r="C173" s="26">
        <f t="shared" si="44"/>
        <v>19</v>
      </c>
      <c r="D173" s="26">
        <f t="shared" si="45"/>
        <v>1</v>
      </c>
      <c r="E173" s="26">
        <f t="shared" si="46"/>
        <v>13</v>
      </c>
      <c r="F173" s="26">
        <f t="shared" si="47"/>
        <v>45</v>
      </c>
      <c r="G173" s="29">
        <f t="shared" si="48"/>
        <v>44835</v>
      </c>
      <c r="H173" s="26">
        <f t="shared" si="49"/>
        <v>50</v>
      </c>
      <c r="I173" s="29">
        <f t="shared" si="50"/>
        <v>44958</v>
      </c>
      <c r="J173" s="33">
        <f t="shared" si="51"/>
        <v>167409.8501970768</v>
      </c>
      <c r="K173" s="33">
        <f t="shared" si="52"/>
        <v>98015.390212059021</v>
      </c>
      <c r="L173" s="19">
        <f t="shared" si="53"/>
        <v>1.6193088816295724</v>
      </c>
      <c r="M173" s="19">
        <f t="shared" si="54"/>
        <v>1.6193088816295724</v>
      </c>
      <c r="N173" s="33">
        <f t="shared" si="55"/>
        <v>158717.19190677544</v>
      </c>
      <c r="O173" s="33">
        <f t="shared" si="56"/>
        <v>196259.73588384359</v>
      </c>
      <c r="P173" s="35">
        <f t="shared" si="57"/>
        <v>0.41451838050942535</v>
      </c>
      <c r="Q173" s="35">
        <f t="shared" si="58"/>
        <v>5.1924413528046678E-2</v>
      </c>
      <c r="R173" s="35">
        <f t="shared" si="59"/>
        <v>0.17233087331960681</v>
      </c>
      <c r="S173" s="35">
        <f t="shared" si="60"/>
        <v>-0.41451838050942535</v>
      </c>
      <c r="T173" s="35">
        <f t="shared" si="61"/>
        <v>-5.1924413528046665E-2</v>
      </c>
      <c r="U173" s="35">
        <f t="shared" si="62"/>
        <v>0.17233087331960673</v>
      </c>
    </row>
    <row r="174" spans="1:21" x14ac:dyDescent="0.25">
      <c r="A174" s="26">
        <f t="shared" si="42"/>
        <v>21</v>
      </c>
      <c r="B174" s="26">
        <f t="shared" si="43"/>
        <v>6</v>
      </c>
      <c r="C174" s="26">
        <f t="shared" si="44"/>
        <v>19</v>
      </c>
      <c r="D174" s="26">
        <f t="shared" si="45"/>
        <v>1</v>
      </c>
      <c r="E174" s="26">
        <f t="shared" si="46"/>
        <v>13</v>
      </c>
      <c r="F174" s="26">
        <f t="shared" si="47"/>
        <v>45</v>
      </c>
      <c r="G174" s="29">
        <f t="shared" si="48"/>
        <v>44835</v>
      </c>
      <c r="H174" s="26">
        <f t="shared" si="49"/>
        <v>51</v>
      </c>
      <c r="I174" s="29">
        <f t="shared" si="50"/>
        <v>44986</v>
      </c>
      <c r="J174" s="33">
        <f t="shared" si="51"/>
        <v>184777.90021240711</v>
      </c>
      <c r="K174" s="33">
        <f t="shared" si="52"/>
        <v>119287.8302438259</v>
      </c>
      <c r="L174" s="19">
        <f t="shared" si="53"/>
        <v>1.6193088816295724</v>
      </c>
      <c r="M174" s="19">
        <f t="shared" si="54"/>
        <v>1.6193088816295724</v>
      </c>
      <c r="N174" s="33">
        <f t="shared" si="55"/>
        <v>193163.84298414801</v>
      </c>
      <c r="O174" s="33">
        <f t="shared" si="56"/>
        <v>272691.25646962191</v>
      </c>
      <c r="P174" s="35">
        <f t="shared" si="57"/>
        <v>0.35442588043969886</v>
      </c>
      <c r="Q174" s="35">
        <f t="shared" si="58"/>
        <v>4.5383905554187129E-2</v>
      </c>
      <c r="R174" s="35">
        <f t="shared" si="59"/>
        <v>0.47577852197776926</v>
      </c>
      <c r="S174" s="35">
        <f t="shared" si="60"/>
        <v>-0.35442588043969891</v>
      </c>
      <c r="T174" s="35">
        <f t="shared" si="61"/>
        <v>4.5383905554187143E-2</v>
      </c>
      <c r="U174" s="35">
        <f t="shared" si="62"/>
        <v>0.47577852197776926</v>
      </c>
    </row>
    <row r="175" spans="1:21" x14ac:dyDescent="0.25">
      <c r="A175" s="26">
        <f t="shared" si="42"/>
        <v>21</v>
      </c>
      <c r="B175" s="26">
        <f t="shared" si="43"/>
        <v>7</v>
      </c>
      <c r="C175" s="26">
        <f t="shared" si="44"/>
        <v>19</v>
      </c>
      <c r="D175" s="26">
        <f t="shared" si="45"/>
        <v>1</v>
      </c>
      <c r="E175" s="26">
        <f t="shared" si="46"/>
        <v>13</v>
      </c>
      <c r="F175" s="26">
        <f t="shared" si="47"/>
        <v>45</v>
      </c>
      <c r="G175" s="29">
        <f t="shared" si="48"/>
        <v>44835</v>
      </c>
      <c r="H175" s="26">
        <f t="shared" si="49"/>
        <v>52</v>
      </c>
      <c r="I175" s="29">
        <f t="shared" si="50"/>
        <v>45017</v>
      </c>
      <c r="J175" s="33">
        <f t="shared" si="51"/>
        <v>193149.96007275581</v>
      </c>
      <c r="K175" s="33">
        <f t="shared" si="52"/>
        <v>113637.6201777458</v>
      </c>
      <c r="L175" s="19">
        <f t="shared" si="53"/>
        <v>1.6193088816295724</v>
      </c>
      <c r="M175" s="19">
        <f t="shared" si="54"/>
        <v>1.6193088816295724</v>
      </c>
      <c r="N175" s="33">
        <f t="shared" si="55"/>
        <v>184014.40764107168</v>
      </c>
      <c r="O175" s="33">
        <f t="shared" si="56"/>
        <v>270809.04361739161</v>
      </c>
      <c r="P175" s="35">
        <f t="shared" si="57"/>
        <v>0.41166117696871002</v>
      </c>
      <c r="Q175" s="35">
        <f t="shared" si="58"/>
        <v>4.7297718457942985E-2</v>
      </c>
      <c r="R175" s="35">
        <f t="shared" si="59"/>
        <v>0.40206626765743642</v>
      </c>
      <c r="S175" s="35">
        <f t="shared" si="60"/>
        <v>-0.41166117696871007</v>
      </c>
      <c r="T175" s="35">
        <f t="shared" si="61"/>
        <v>-4.729771845794295E-2</v>
      </c>
      <c r="U175" s="35">
        <f t="shared" si="62"/>
        <v>0.40206626765743647</v>
      </c>
    </row>
    <row r="176" spans="1:21" x14ac:dyDescent="0.25">
      <c r="A176" s="37">
        <f t="shared" si="42"/>
        <v>21</v>
      </c>
      <c r="B176" s="37">
        <f t="shared" si="43"/>
        <v>8</v>
      </c>
      <c r="C176" s="37">
        <f t="shared" si="44"/>
        <v>19</v>
      </c>
      <c r="D176" s="37">
        <f t="shared" si="45"/>
        <v>1</v>
      </c>
      <c r="E176" s="37">
        <f t="shared" si="46"/>
        <v>13</v>
      </c>
      <c r="F176" s="37">
        <f t="shared" si="47"/>
        <v>45</v>
      </c>
      <c r="G176" s="38">
        <f t="shared" si="48"/>
        <v>44835</v>
      </c>
      <c r="H176" s="37">
        <f t="shared" si="49"/>
        <v>53</v>
      </c>
      <c r="I176" s="38">
        <f t="shared" si="50"/>
        <v>45047</v>
      </c>
      <c r="J176" s="39">
        <f t="shared" si="51"/>
        <v>209624.34030818939</v>
      </c>
      <c r="K176" s="39">
        <f t="shared" si="52"/>
        <v>119652.1701276302</v>
      </c>
      <c r="L176" s="40">
        <f t="shared" si="53"/>
        <v>1.6193088816295724</v>
      </c>
      <c r="M176" s="40">
        <f t="shared" si="54"/>
        <v>1.6193088816295724</v>
      </c>
      <c r="N176" s="39">
        <f t="shared" si="55"/>
        <v>193753.8217939242</v>
      </c>
      <c r="O176" s="39">
        <f t="shared" si="56"/>
        <v>269914.8740374156</v>
      </c>
      <c r="P176" s="41">
        <f t="shared" si="57"/>
        <v>0.42920669445295445</v>
      </c>
      <c r="Q176" s="41">
        <f t="shared" si="58"/>
        <v>7.5709330752966847E-2</v>
      </c>
      <c r="R176" s="41">
        <f t="shared" si="59"/>
        <v>0.28761227651611049</v>
      </c>
      <c r="S176" s="41">
        <f t="shared" si="60"/>
        <v>-0.42920669445295445</v>
      </c>
      <c r="T176" s="41">
        <f t="shared" si="61"/>
        <v>-7.5709330752966819E-2</v>
      </c>
      <c r="U176" s="41">
        <f t="shared" si="62"/>
        <v>0.28761227651611043</v>
      </c>
    </row>
    <row r="177" spans="1:21" x14ac:dyDescent="0.25">
      <c r="A177" s="26">
        <f t="shared" si="42"/>
        <v>22</v>
      </c>
      <c r="B177" s="26">
        <f t="shared" si="43"/>
        <v>1</v>
      </c>
      <c r="C177" s="26">
        <f t="shared" si="44"/>
        <v>18</v>
      </c>
      <c r="D177" s="26">
        <f t="shared" si="45"/>
        <v>1</v>
      </c>
      <c r="E177" s="26">
        <f t="shared" si="46"/>
        <v>14</v>
      </c>
      <c r="F177" s="26">
        <f t="shared" si="47"/>
        <v>46</v>
      </c>
      <c r="G177" s="29">
        <f t="shared" si="48"/>
        <v>44866</v>
      </c>
      <c r="H177" s="26">
        <f t="shared" si="49"/>
        <v>47</v>
      </c>
      <c r="I177" s="29">
        <f t="shared" si="50"/>
        <v>44866</v>
      </c>
      <c r="J177" s="33">
        <f t="shared" si="51"/>
        <v>155504.0401403904</v>
      </c>
      <c r="K177" s="33">
        <f t="shared" si="52"/>
        <v>94327.220094442368</v>
      </c>
      <c r="L177" s="19">
        <f t="shared" si="53"/>
        <v>1.6705997740300234</v>
      </c>
      <c r="M177" s="19">
        <f t="shared" si="54"/>
        <v>1.6705997740300234</v>
      </c>
      <c r="N177" s="33">
        <f t="shared" si="55"/>
        <v>157583.03257465569</v>
      </c>
      <c r="O177" s="33">
        <f t="shared" si="56"/>
        <v>163407.19986649041</v>
      </c>
      <c r="P177" s="35">
        <f t="shared" si="57"/>
        <v>0.39340984318296207</v>
      </c>
      <c r="Q177" s="35">
        <f t="shared" si="58"/>
        <v>1.3369378907379919E-2</v>
      </c>
      <c r="R177" s="35">
        <f t="shared" si="59"/>
        <v>5.082285784321084E-2</v>
      </c>
      <c r="S177" s="35">
        <f t="shared" si="60"/>
        <v>-0.39340984318296213</v>
      </c>
      <c r="T177" s="35">
        <f t="shared" si="61"/>
        <v>1.3369378907379881E-2</v>
      </c>
      <c r="U177" s="35">
        <f t="shared" si="62"/>
        <v>5.0822857843210834E-2</v>
      </c>
    </row>
    <row r="178" spans="1:21" x14ac:dyDescent="0.25">
      <c r="A178" s="26">
        <f t="shared" si="42"/>
        <v>22</v>
      </c>
      <c r="B178" s="26">
        <f t="shared" si="43"/>
        <v>2</v>
      </c>
      <c r="C178" s="26">
        <f t="shared" si="44"/>
        <v>18</v>
      </c>
      <c r="D178" s="26">
        <f t="shared" si="45"/>
        <v>1</v>
      </c>
      <c r="E178" s="26">
        <f t="shared" si="46"/>
        <v>14</v>
      </c>
      <c r="F178" s="26">
        <f t="shared" si="47"/>
        <v>46</v>
      </c>
      <c r="G178" s="29">
        <f t="shared" si="48"/>
        <v>44866</v>
      </c>
      <c r="H178" s="26">
        <f t="shared" si="49"/>
        <v>48</v>
      </c>
      <c r="I178" s="29">
        <f t="shared" si="50"/>
        <v>44896</v>
      </c>
      <c r="J178" s="33">
        <f t="shared" si="51"/>
        <v>160734.2702050395</v>
      </c>
      <c r="K178" s="33">
        <f t="shared" si="52"/>
        <v>95950.710146665573</v>
      </c>
      <c r="L178" s="19">
        <f t="shared" si="53"/>
        <v>1.6705997740300234</v>
      </c>
      <c r="M178" s="19">
        <f t="shared" si="54"/>
        <v>1.6705997740300234</v>
      </c>
      <c r="N178" s="33">
        <f t="shared" si="55"/>
        <v>160295.23468903979</v>
      </c>
      <c r="O178" s="33">
        <f t="shared" si="56"/>
        <v>167214.6824698727</v>
      </c>
      <c r="P178" s="35">
        <f t="shared" si="57"/>
        <v>0.4030475888914869</v>
      </c>
      <c r="Q178" s="35">
        <f t="shared" si="58"/>
        <v>2.7314368954402821E-3</v>
      </c>
      <c r="R178" s="35">
        <f t="shared" si="59"/>
        <v>4.0317551798795037E-2</v>
      </c>
      <c r="S178" s="35">
        <f t="shared" si="60"/>
        <v>-0.40304758889148684</v>
      </c>
      <c r="T178" s="35">
        <f t="shared" si="61"/>
        <v>-2.731436895440309E-3</v>
      </c>
      <c r="U178" s="35">
        <f t="shared" si="62"/>
        <v>4.0317551798795037E-2</v>
      </c>
    </row>
    <row r="179" spans="1:21" x14ac:dyDescent="0.25">
      <c r="A179" s="26">
        <f t="shared" si="42"/>
        <v>22</v>
      </c>
      <c r="B179" s="26">
        <f t="shared" si="43"/>
        <v>3</v>
      </c>
      <c r="C179" s="26">
        <f t="shared" si="44"/>
        <v>18</v>
      </c>
      <c r="D179" s="26">
        <f t="shared" si="45"/>
        <v>1</v>
      </c>
      <c r="E179" s="26">
        <f t="shared" si="46"/>
        <v>14</v>
      </c>
      <c r="F179" s="26">
        <f t="shared" si="47"/>
        <v>46</v>
      </c>
      <c r="G179" s="29">
        <f t="shared" si="48"/>
        <v>44866</v>
      </c>
      <c r="H179" s="26">
        <f t="shared" si="49"/>
        <v>49</v>
      </c>
      <c r="I179" s="29">
        <f t="shared" si="50"/>
        <v>44927</v>
      </c>
      <c r="J179" s="33">
        <f t="shared" si="51"/>
        <v>188680.17009925839</v>
      </c>
      <c r="K179" s="33">
        <f t="shared" si="52"/>
        <v>113670.3201682568</v>
      </c>
      <c r="L179" s="19">
        <f t="shared" si="53"/>
        <v>1.6705997740300234</v>
      </c>
      <c r="M179" s="19">
        <f t="shared" si="54"/>
        <v>1.6705997740300234</v>
      </c>
      <c r="N179" s="33">
        <f t="shared" si="55"/>
        <v>189897.61118701022</v>
      </c>
      <c r="O179" s="33">
        <f t="shared" si="56"/>
        <v>202485.9155637121</v>
      </c>
      <c r="P179" s="35">
        <f t="shared" si="57"/>
        <v>0.39755025603136457</v>
      </c>
      <c r="Q179" s="35">
        <f t="shared" si="58"/>
        <v>6.4524061384477679E-3</v>
      </c>
      <c r="R179" s="35">
        <f t="shared" si="59"/>
        <v>7.3170092316489646E-2</v>
      </c>
      <c r="S179" s="35">
        <f t="shared" si="60"/>
        <v>-0.39755025603136451</v>
      </c>
      <c r="T179" s="35">
        <f t="shared" si="61"/>
        <v>6.4524061384476639E-3</v>
      </c>
      <c r="U179" s="35">
        <f t="shared" si="62"/>
        <v>7.3170092316489743E-2</v>
      </c>
    </row>
    <row r="180" spans="1:21" x14ac:dyDescent="0.25">
      <c r="A180" s="26">
        <f t="shared" si="42"/>
        <v>22</v>
      </c>
      <c r="B180" s="26">
        <f t="shared" si="43"/>
        <v>4</v>
      </c>
      <c r="C180" s="26">
        <f t="shared" si="44"/>
        <v>18</v>
      </c>
      <c r="D180" s="26">
        <f t="shared" si="45"/>
        <v>1</v>
      </c>
      <c r="E180" s="26">
        <f t="shared" si="46"/>
        <v>14</v>
      </c>
      <c r="F180" s="26">
        <f t="shared" si="47"/>
        <v>46</v>
      </c>
      <c r="G180" s="29">
        <f t="shared" si="48"/>
        <v>44866</v>
      </c>
      <c r="H180" s="26">
        <f t="shared" si="49"/>
        <v>50</v>
      </c>
      <c r="I180" s="29">
        <f t="shared" si="50"/>
        <v>44958</v>
      </c>
      <c r="J180" s="33">
        <f t="shared" si="51"/>
        <v>167409.8501970768</v>
      </c>
      <c r="K180" s="33">
        <f t="shared" si="52"/>
        <v>98015.390212059021</v>
      </c>
      <c r="L180" s="19">
        <f t="shared" si="53"/>
        <v>1.6705997740300234</v>
      </c>
      <c r="M180" s="19">
        <f t="shared" si="54"/>
        <v>1.6705997740300234</v>
      </c>
      <c r="N180" s="33">
        <f t="shared" si="55"/>
        <v>163744.48873973035</v>
      </c>
      <c r="O180" s="33">
        <f t="shared" si="56"/>
        <v>188112.63531600079</v>
      </c>
      <c r="P180" s="35">
        <f t="shared" si="57"/>
        <v>0.41451838050942535</v>
      </c>
      <c r="Q180" s="35">
        <f t="shared" si="58"/>
        <v>2.189453878031393E-2</v>
      </c>
      <c r="R180" s="35">
        <f t="shared" si="59"/>
        <v>0.12366527474071826</v>
      </c>
      <c r="S180" s="35">
        <f t="shared" si="60"/>
        <v>-0.41451838050942535</v>
      </c>
      <c r="T180" s="35">
        <f t="shared" si="61"/>
        <v>-2.1894538780313888E-2</v>
      </c>
      <c r="U180" s="35">
        <f t="shared" si="62"/>
        <v>0.12366527474071831</v>
      </c>
    </row>
    <row r="181" spans="1:21" x14ac:dyDescent="0.25">
      <c r="A181" s="26">
        <f t="shared" si="42"/>
        <v>22</v>
      </c>
      <c r="B181" s="26">
        <f t="shared" si="43"/>
        <v>5</v>
      </c>
      <c r="C181" s="26">
        <f t="shared" si="44"/>
        <v>18</v>
      </c>
      <c r="D181" s="26">
        <f t="shared" si="45"/>
        <v>1</v>
      </c>
      <c r="E181" s="26">
        <f t="shared" si="46"/>
        <v>14</v>
      </c>
      <c r="F181" s="26">
        <f t="shared" si="47"/>
        <v>46</v>
      </c>
      <c r="G181" s="29">
        <f t="shared" si="48"/>
        <v>44866</v>
      </c>
      <c r="H181" s="26">
        <f t="shared" si="49"/>
        <v>51</v>
      </c>
      <c r="I181" s="29">
        <f t="shared" si="50"/>
        <v>44986</v>
      </c>
      <c r="J181" s="33">
        <f t="shared" si="51"/>
        <v>184777.90021240711</v>
      </c>
      <c r="K181" s="33">
        <f t="shared" si="52"/>
        <v>119287.8302438259</v>
      </c>
      <c r="L181" s="19">
        <f t="shared" si="53"/>
        <v>1.6705997740300234</v>
      </c>
      <c r="M181" s="19">
        <f t="shared" si="54"/>
        <v>1.6705997740300234</v>
      </c>
      <c r="N181" s="33">
        <f t="shared" si="55"/>
        <v>199282.22224986734</v>
      </c>
      <c r="O181" s="33">
        <f t="shared" si="56"/>
        <v>259617.5453704157</v>
      </c>
      <c r="P181" s="35">
        <f t="shared" si="57"/>
        <v>0.35442588043969886</v>
      </c>
      <c r="Q181" s="35">
        <f t="shared" si="58"/>
        <v>7.8495978257070359E-2</v>
      </c>
      <c r="R181" s="35">
        <f t="shared" si="59"/>
        <v>0.40502487078800237</v>
      </c>
      <c r="S181" s="35">
        <f t="shared" si="60"/>
        <v>-0.35442588043969891</v>
      </c>
      <c r="T181" s="35">
        <f t="shared" si="61"/>
        <v>7.8495978257070442E-2</v>
      </c>
      <c r="U181" s="35">
        <f t="shared" si="62"/>
        <v>0.40502487078800242</v>
      </c>
    </row>
    <row r="182" spans="1:21" x14ac:dyDescent="0.25">
      <c r="A182" s="26">
        <f t="shared" si="42"/>
        <v>22</v>
      </c>
      <c r="B182" s="26">
        <f t="shared" si="43"/>
        <v>6</v>
      </c>
      <c r="C182" s="26">
        <f t="shared" si="44"/>
        <v>18</v>
      </c>
      <c r="D182" s="26">
        <f t="shared" si="45"/>
        <v>1</v>
      </c>
      <c r="E182" s="26">
        <f t="shared" si="46"/>
        <v>14</v>
      </c>
      <c r="F182" s="26">
        <f t="shared" si="47"/>
        <v>46</v>
      </c>
      <c r="G182" s="29">
        <f t="shared" si="48"/>
        <v>44866</v>
      </c>
      <c r="H182" s="26">
        <f t="shared" si="49"/>
        <v>52</v>
      </c>
      <c r="I182" s="29">
        <f t="shared" si="50"/>
        <v>45017</v>
      </c>
      <c r="J182" s="33">
        <f t="shared" si="51"/>
        <v>193149.96007275581</v>
      </c>
      <c r="K182" s="33">
        <f t="shared" si="52"/>
        <v>113637.6201777458</v>
      </c>
      <c r="L182" s="19">
        <f t="shared" si="53"/>
        <v>1.6705997740300234</v>
      </c>
      <c r="M182" s="19">
        <f t="shared" si="54"/>
        <v>1.6705997740300234</v>
      </c>
      <c r="N182" s="33">
        <f t="shared" si="55"/>
        <v>189842.98259025178</v>
      </c>
      <c r="O182" s="33">
        <f t="shared" si="56"/>
        <v>256132.86518493999</v>
      </c>
      <c r="P182" s="35">
        <f t="shared" si="57"/>
        <v>0.41166117696871002</v>
      </c>
      <c r="Q182" s="35">
        <f t="shared" si="58"/>
        <v>1.7121295190837021E-2</v>
      </c>
      <c r="R182" s="35">
        <f t="shared" si="59"/>
        <v>0.32608293104725339</v>
      </c>
      <c r="S182" s="35">
        <f t="shared" si="60"/>
        <v>-0.41166117696871007</v>
      </c>
      <c r="T182" s="35">
        <f t="shared" si="61"/>
        <v>-1.7121295190837049E-2</v>
      </c>
      <c r="U182" s="35">
        <f t="shared" si="62"/>
        <v>0.32608293104725328</v>
      </c>
    </row>
    <row r="183" spans="1:21" x14ac:dyDescent="0.25">
      <c r="A183" s="26">
        <f t="shared" si="42"/>
        <v>22</v>
      </c>
      <c r="B183" s="26">
        <f t="shared" si="43"/>
        <v>7</v>
      </c>
      <c r="C183" s="26">
        <f t="shared" si="44"/>
        <v>18</v>
      </c>
      <c r="D183" s="26">
        <f t="shared" si="45"/>
        <v>1</v>
      </c>
      <c r="E183" s="26">
        <f t="shared" si="46"/>
        <v>14</v>
      </c>
      <c r="F183" s="26">
        <f t="shared" si="47"/>
        <v>46</v>
      </c>
      <c r="G183" s="29">
        <f t="shared" si="48"/>
        <v>44866</v>
      </c>
      <c r="H183" s="26">
        <f t="shared" si="49"/>
        <v>53</v>
      </c>
      <c r="I183" s="29">
        <f t="shared" si="50"/>
        <v>45047</v>
      </c>
      <c r="J183" s="33">
        <f t="shared" si="51"/>
        <v>209624.34030818939</v>
      </c>
      <c r="K183" s="33">
        <f t="shared" si="52"/>
        <v>119652.1701276302</v>
      </c>
      <c r="L183" s="19">
        <f t="shared" si="53"/>
        <v>1.6705997740300234</v>
      </c>
      <c r="M183" s="19">
        <f t="shared" si="54"/>
        <v>1.6705997740300234</v>
      </c>
      <c r="N183" s="33">
        <f t="shared" si="55"/>
        <v>199890.88837742092</v>
      </c>
      <c r="O183" s="33">
        <f t="shared" si="56"/>
        <v>253649.45646566941</v>
      </c>
      <c r="P183" s="35">
        <f t="shared" si="57"/>
        <v>0.42920669445295445</v>
      </c>
      <c r="Q183" s="35">
        <f t="shared" si="58"/>
        <v>4.6432832735255655E-2</v>
      </c>
      <c r="R183" s="35">
        <f t="shared" si="59"/>
        <v>0.21001910414007438</v>
      </c>
      <c r="S183" s="35">
        <f t="shared" si="60"/>
        <v>-0.42920669445295445</v>
      </c>
      <c r="T183" s="35">
        <f t="shared" si="61"/>
        <v>-4.6432832735255669E-2</v>
      </c>
      <c r="U183" s="35">
        <f t="shared" si="62"/>
        <v>0.2100191041400743</v>
      </c>
    </row>
    <row r="184" spans="1:21" x14ac:dyDescent="0.25">
      <c r="A184" s="37">
        <f t="shared" si="42"/>
        <v>22</v>
      </c>
      <c r="B184" s="37">
        <f t="shared" si="43"/>
        <v>8</v>
      </c>
      <c r="C184" s="37">
        <f t="shared" si="44"/>
        <v>18</v>
      </c>
      <c r="D184" s="37">
        <f t="shared" si="45"/>
        <v>1</v>
      </c>
      <c r="E184" s="37">
        <f t="shared" si="46"/>
        <v>14</v>
      </c>
      <c r="F184" s="37">
        <f t="shared" si="47"/>
        <v>46</v>
      </c>
      <c r="G184" s="38">
        <f t="shared" si="48"/>
        <v>44866</v>
      </c>
      <c r="H184" s="37">
        <f t="shared" si="49"/>
        <v>54</v>
      </c>
      <c r="I184" s="38">
        <f t="shared" si="50"/>
        <v>45078</v>
      </c>
      <c r="J184" s="39">
        <f t="shared" si="51"/>
        <v>205503.24020504949</v>
      </c>
      <c r="K184" s="39">
        <f t="shared" si="52"/>
        <v>133353.570147872</v>
      </c>
      <c r="L184" s="40">
        <f t="shared" si="53"/>
        <v>1.6705997740300234</v>
      </c>
      <c r="M184" s="40">
        <f t="shared" si="54"/>
        <v>1.6705997740300234</v>
      </c>
      <c r="N184" s="39">
        <f t="shared" si="55"/>
        <v>222780.44415513185</v>
      </c>
      <c r="O184" s="39">
        <f t="shared" si="56"/>
        <v>256453.77788856329</v>
      </c>
      <c r="P184" s="41">
        <f t="shared" si="57"/>
        <v>0.3510877492013611</v>
      </c>
      <c r="Q184" s="41">
        <f t="shared" si="58"/>
        <v>8.4072659549520021E-2</v>
      </c>
      <c r="R184" s="41">
        <f t="shared" si="59"/>
        <v>0.24793058071822013</v>
      </c>
      <c r="S184" s="41">
        <f t="shared" si="60"/>
        <v>-0.3510877492013611</v>
      </c>
      <c r="T184" s="41">
        <f t="shared" si="61"/>
        <v>8.4072659549520035E-2</v>
      </c>
      <c r="U184" s="41">
        <f t="shared" si="62"/>
        <v>0.24793058071822016</v>
      </c>
    </row>
    <row r="185" spans="1:21" x14ac:dyDescent="0.25">
      <c r="A185" s="26">
        <f t="shared" si="42"/>
        <v>23</v>
      </c>
      <c r="B185" s="26">
        <f t="shared" si="43"/>
        <v>1</v>
      </c>
      <c r="C185" s="26">
        <f t="shared" si="44"/>
        <v>17</v>
      </c>
      <c r="D185" s="26">
        <f t="shared" si="45"/>
        <v>1</v>
      </c>
      <c r="E185" s="26">
        <f t="shared" si="46"/>
        <v>15</v>
      </c>
      <c r="F185" s="26">
        <f t="shared" si="47"/>
        <v>47</v>
      </c>
      <c r="G185" s="29">
        <f t="shared" si="48"/>
        <v>44896</v>
      </c>
      <c r="H185" s="26">
        <f t="shared" si="49"/>
        <v>48</v>
      </c>
      <c r="I185" s="29">
        <f t="shared" si="50"/>
        <v>44896</v>
      </c>
      <c r="J185" s="33">
        <f t="shared" si="51"/>
        <v>160734.2702050395</v>
      </c>
      <c r="K185" s="33">
        <f t="shared" si="52"/>
        <v>95950.710146665573</v>
      </c>
      <c r="L185" s="19">
        <f t="shared" si="53"/>
        <v>1.6485595566655789</v>
      </c>
      <c r="M185" s="19">
        <f t="shared" si="54"/>
        <v>1.6485595566655789</v>
      </c>
      <c r="N185" s="33">
        <f t="shared" si="55"/>
        <v>158180.46018113446</v>
      </c>
      <c r="O185" s="33">
        <f t="shared" si="56"/>
        <v>154866.83410128279</v>
      </c>
      <c r="P185" s="35">
        <f t="shared" si="57"/>
        <v>0.4030475888914869</v>
      </c>
      <c r="Q185" s="35">
        <f t="shared" si="58"/>
        <v>1.5888397792501195E-2</v>
      </c>
      <c r="R185" s="35">
        <f t="shared" si="59"/>
        <v>3.650395212092581E-2</v>
      </c>
      <c r="S185" s="35">
        <f t="shared" si="60"/>
        <v>-0.40304758889148684</v>
      </c>
      <c r="T185" s="35">
        <f t="shared" si="61"/>
        <v>-1.5888397792501174E-2</v>
      </c>
      <c r="U185" s="35">
        <f t="shared" si="62"/>
        <v>-3.6503952120925831E-2</v>
      </c>
    </row>
    <row r="186" spans="1:21" x14ac:dyDescent="0.25">
      <c r="A186" s="26">
        <f t="shared" si="42"/>
        <v>23</v>
      </c>
      <c r="B186" s="26">
        <f t="shared" si="43"/>
        <v>2</v>
      </c>
      <c r="C186" s="26">
        <f t="shared" si="44"/>
        <v>17</v>
      </c>
      <c r="D186" s="26">
        <f t="shared" si="45"/>
        <v>1</v>
      </c>
      <c r="E186" s="26">
        <f t="shared" si="46"/>
        <v>15</v>
      </c>
      <c r="F186" s="26">
        <f t="shared" si="47"/>
        <v>47</v>
      </c>
      <c r="G186" s="29">
        <f t="shared" si="48"/>
        <v>44896</v>
      </c>
      <c r="H186" s="26">
        <f t="shared" si="49"/>
        <v>49</v>
      </c>
      <c r="I186" s="29">
        <f t="shared" si="50"/>
        <v>44927</v>
      </c>
      <c r="J186" s="33">
        <f t="shared" si="51"/>
        <v>188680.17009925839</v>
      </c>
      <c r="K186" s="33">
        <f t="shared" si="52"/>
        <v>113670.3201682568</v>
      </c>
      <c r="L186" s="19">
        <f t="shared" si="53"/>
        <v>1.6485595566655789</v>
      </c>
      <c r="M186" s="19">
        <f t="shared" si="54"/>
        <v>1.6485595566655789</v>
      </c>
      <c r="N186" s="33">
        <f t="shared" si="55"/>
        <v>187392.29262261585</v>
      </c>
      <c r="O186" s="33">
        <f t="shared" si="56"/>
        <v>182639.8184892172</v>
      </c>
      <c r="P186" s="35">
        <f t="shared" si="57"/>
        <v>0.39755025603136457</v>
      </c>
      <c r="Q186" s="35">
        <f t="shared" si="58"/>
        <v>6.8257171697748567E-3</v>
      </c>
      <c r="R186" s="35">
        <f t="shared" si="59"/>
        <v>3.2013706617200766E-2</v>
      </c>
      <c r="S186" s="35">
        <f t="shared" si="60"/>
        <v>-0.39755025603136451</v>
      </c>
      <c r="T186" s="35">
        <f t="shared" si="61"/>
        <v>-6.8257171697748698E-3</v>
      </c>
      <c r="U186" s="35">
        <f t="shared" si="62"/>
        <v>-3.201370661720071E-2</v>
      </c>
    </row>
    <row r="187" spans="1:21" x14ac:dyDescent="0.25">
      <c r="A187" s="26">
        <f t="shared" si="42"/>
        <v>23</v>
      </c>
      <c r="B187" s="26">
        <f t="shared" si="43"/>
        <v>3</v>
      </c>
      <c r="C187" s="26">
        <f t="shared" si="44"/>
        <v>17</v>
      </c>
      <c r="D187" s="26">
        <f t="shared" si="45"/>
        <v>1</v>
      </c>
      <c r="E187" s="26">
        <f t="shared" si="46"/>
        <v>15</v>
      </c>
      <c r="F187" s="26">
        <f t="shared" si="47"/>
        <v>47</v>
      </c>
      <c r="G187" s="29">
        <f t="shared" si="48"/>
        <v>44896</v>
      </c>
      <c r="H187" s="26">
        <f t="shared" si="49"/>
        <v>50</v>
      </c>
      <c r="I187" s="29">
        <f t="shared" si="50"/>
        <v>44958</v>
      </c>
      <c r="J187" s="33">
        <f t="shared" si="51"/>
        <v>167409.8501970768</v>
      </c>
      <c r="K187" s="33">
        <f t="shared" si="52"/>
        <v>98015.390212059021</v>
      </c>
      <c r="L187" s="19">
        <f t="shared" si="53"/>
        <v>1.6485595566655789</v>
      </c>
      <c r="M187" s="19">
        <f t="shared" si="54"/>
        <v>1.6485595566655789</v>
      </c>
      <c r="N187" s="33">
        <f t="shared" si="55"/>
        <v>161584.20823439574</v>
      </c>
      <c r="O187" s="33">
        <f t="shared" si="56"/>
        <v>165384.45419059199</v>
      </c>
      <c r="P187" s="35">
        <f t="shared" si="57"/>
        <v>0.41451838050942535</v>
      </c>
      <c r="Q187" s="35">
        <f t="shared" si="58"/>
        <v>3.4798680936773074E-2</v>
      </c>
      <c r="R187" s="35">
        <f t="shared" si="59"/>
        <v>1.2098427924644144E-2</v>
      </c>
      <c r="S187" s="35">
        <f t="shared" si="60"/>
        <v>-0.41451838050942535</v>
      </c>
      <c r="T187" s="35">
        <f t="shared" si="61"/>
        <v>-3.4798680936773074E-2</v>
      </c>
      <c r="U187" s="35">
        <f t="shared" si="62"/>
        <v>-1.2098427924644106E-2</v>
      </c>
    </row>
    <row r="188" spans="1:21" x14ac:dyDescent="0.25">
      <c r="A188" s="26">
        <f t="shared" si="42"/>
        <v>23</v>
      </c>
      <c r="B188" s="26">
        <f t="shared" si="43"/>
        <v>4</v>
      </c>
      <c r="C188" s="26">
        <f t="shared" si="44"/>
        <v>17</v>
      </c>
      <c r="D188" s="26">
        <f t="shared" si="45"/>
        <v>1</v>
      </c>
      <c r="E188" s="26">
        <f t="shared" si="46"/>
        <v>15</v>
      </c>
      <c r="F188" s="26">
        <f t="shared" si="47"/>
        <v>47</v>
      </c>
      <c r="G188" s="29">
        <f t="shared" si="48"/>
        <v>44896</v>
      </c>
      <c r="H188" s="26">
        <f t="shared" si="49"/>
        <v>51</v>
      </c>
      <c r="I188" s="29">
        <f t="shared" si="50"/>
        <v>44986</v>
      </c>
      <c r="J188" s="33">
        <f t="shared" si="51"/>
        <v>184777.90021240711</v>
      </c>
      <c r="K188" s="33">
        <f t="shared" si="52"/>
        <v>119287.8302438259</v>
      </c>
      <c r="L188" s="19">
        <f t="shared" si="53"/>
        <v>1.6485595566655789</v>
      </c>
      <c r="M188" s="19">
        <f t="shared" si="54"/>
        <v>1.6485595566655789</v>
      </c>
      <c r="N188" s="33">
        <f t="shared" si="55"/>
        <v>196653.09254236045</v>
      </c>
      <c r="O188" s="33">
        <f t="shared" si="56"/>
        <v>222594.53677302491</v>
      </c>
      <c r="P188" s="35">
        <f t="shared" si="57"/>
        <v>0.35442588043969886</v>
      </c>
      <c r="Q188" s="35">
        <f t="shared" si="58"/>
        <v>6.4267384337101399E-2</v>
      </c>
      <c r="R188" s="35">
        <f t="shared" si="59"/>
        <v>0.20465995401585671</v>
      </c>
      <c r="S188" s="35">
        <f t="shared" si="60"/>
        <v>-0.35442588043969891</v>
      </c>
      <c r="T188" s="35">
        <f t="shared" si="61"/>
        <v>6.426738433710133E-2</v>
      </c>
      <c r="U188" s="35">
        <f t="shared" si="62"/>
        <v>0.20465995401585668</v>
      </c>
    </row>
    <row r="189" spans="1:21" x14ac:dyDescent="0.25">
      <c r="A189" s="26">
        <f t="shared" si="42"/>
        <v>23</v>
      </c>
      <c r="B189" s="26">
        <f t="shared" si="43"/>
        <v>5</v>
      </c>
      <c r="C189" s="26">
        <f t="shared" si="44"/>
        <v>17</v>
      </c>
      <c r="D189" s="26">
        <f t="shared" si="45"/>
        <v>1</v>
      </c>
      <c r="E189" s="26">
        <f t="shared" si="46"/>
        <v>15</v>
      </c>
      <c r="F189" s="26">
        <f t="shared" si="47"/>
        <v>47</v>
      </c>
      <c r="G189" s="29">
        <f t="shared" si="48"/>
        <v>44896</v>
      </c>
      <c r="H189" s="26">
        <f t="shared" si="49"/>
        <v>52</v>
      </c>
      <c r="I189" s="29">
        <f t="shared" si="50"/>
        <v>45017</v>
      </c>
      <c r="J189" s="33">
        <f t="shared" si="51"/>
        <v>193149.96007275581</v>
      </c>
      <c r="K189" s="33">
        <f t="shared" si="52"/>
        <v>113637.6201777458</v>
      </c>
      <c r="L189" s="19">
        <f t="shared" si="53"/>
        <v>1.6485595566655789</v>
      </c>
      <c r="M189" s="19">
        <f t="shared" si="54"/>
        <v>1.6485595566655789</v>
      </c>
      <c r="N189" s="33">
        <f t="shared" si="55"/>
        <v>187338.38474075607</v>
      </c>
      <c r="O189" s="33">
        <f t="shared" si="56"/>
        <v>214277.76327259271</v>
      </c>
      <c r="P189" s="35">
        <f t="shared" si="57"/>
        <v>0.41166117696871002</v>
      </c>
      <c r="Q189" s="35">
        <f t="shared" si="58"/>
        <v>3.0088410734388137E-2</v>
      </c>
      <c r="R189" s="35">
        <f t="shared" si="59"/>
        <v>0.10938549089980897</v>
      </c>
      <c r="S189" s="35">
        <f t="shared" si="60"/>
        <v>-0.41166117696871007</v>
      </c>
      <c r="T189" s="35">
        <f t="shared" si="61"/>
        <v>-3.0088410734388171E-2</v>
      </c>
      <c r="U189" s="35">
        <f t="shared" si="62"/>
        <v>0.10938549089980887</v>
      </c>
    </row>
    <row r="190" spans="1:21" x14ac:dyDescent="0.25">
      <c r="A190" s="26">
        <f t="shared" si="42"/>
        <v>23</v>
      </c>
      <c r="B190" s="26">
        <f t="shared" si="43"/>
        <v>6</v>
      </c>
      <c r="C190" s="26">
        <f t="shared" si="44"/>
        <v>17</v>
      </c>
      <c r="D190" s="26">
        <f t="shared" si="45"/>
        <v>1</v>
      </c>
      <c r="E190" s="26">
        <f t="shared" si="46"/>
        <v>15</v>
      </c>
      <c r="F190" s="26">
        <f t="shared" si="47"/>
        <v>47</v>
      </c>
      <c r="G190" s="29">
        <f t="shared" si="48"/>
        <v>44896</v>
      </c>
      <c r="H190" s="26">
        <f t="shared" si="49"/>
        <v>53</v>
      </c>
      <c r="I190" s="29">
        <f t="shared" si="50"/>
        <v>45047</v>
      </c>
      <c r="J190" s="33">
        <f t="shared" si="51"/>
        <v>209624.34030818939</v>
      </c>
      <c r="K190" s="33">
        <f t="shared" si="52"/>
        <v>119652.1701276302</v>
      </c>
      <c r="L190" s="19">
        <f t="shared" si="53"/>
        <v>1.6485595566655789</v>
      </c>
      <c r="M190" s="19">
        <f t="shared" si="54"/>
        <v>1.6485595566655789</v>
      </c>
      <c r="N190" s="33">
        <f t="shared" si="55"/>
        <v>197253.72853968048</v>
      </c>
      <c r="O190" s="33">
        <f t="shared" si="56"/>
        <v>207160.29811001531</v>
      </c>
      <c r="P190" s="35">
        <f t="shared" si="57"/>
        <v>0.42920669445295445</v>
      </c>
      <c r="Q190" s="35">
        <f t="shared" si="58"/>
        <v>5.9013241259682235E-2</v>
      </c>
      <c r="R190" s="35">
        <f t="shared" si="59"/>
        <v>1.1754561491053228E-2</v>
      </c>
      <c r="S190" s="35">
        <f t="shared" si="60"/>
        <v>-0.42920669445295445</v>
      </c>
      <c r="T190" s="35">
        <f t="shared" si="61"/>
        <v>-5.9013241259682214E-2</v>
      </c>
      <c r="U190" s="35">
        <f t="shared" si="62"/>
        <v>-1.175456149105325E-2</v>
      </c>
    </row>
    <row r="191" spans="1:21" x14ac:dyDescent="0.25">
      <c r="A191" s="26">
        <f t="shared" si="42"/>
        <v>23</v>
      </c>
      <c r="B191" s="26">
        <f t="shared" si="43"/>
        <v>7</v>
      </c>
      <c r="C191" s="26">
        <f t="shared" si="44"/>
        <v>17</v>
      </c>
      <c r="D191" s="26">
        <f t="shared" si="45"/>
        <v>1</v>
      </c>
      <c r="E191" s="26">
        <f t="shared" si="46"/>
        <v>15</v>
      </c>
      <c r="F191" s="26">
        <f t="shared" si="47"/>
        <v>47</v>
      </c>
      <c r="G191" s="29">
        <f t="shared" si="48"/>
        <v>44896</v>
      </c>
      <c r="H191" s="26">
        <f t="shared" si="49"/>
        <v>54</v>
      </c>
      <c r="I191" s="29">
        <f t="shared" si="50"/>
        <v>45078</v>
      </c>
      <c r="J191" s="33">
        <f t="shared" si="51"/>
        <v>205503.24020504949</v>
      </c>
      <c r="K191" s="33">
        <f t="shared" si="52"/>
        <v>133353.570147872</v>
      </c>
      <c r="L191" s="19">
        <f t="shared" si="53"/>
        <v>1.6485595566655789</v>
      </c>
      <c r="M191" s="19">
        <f t="shared" si="54"/>
        <v>1.6485595566655789</v>
      </c>
      <c r="N191" s="33">
        <f t="shared" si="55"/>
        <v>219841.30248274803</v>
      </c>
      <c r="O191" s="33">
        <f t="shared" si="56"/>
        <v>204584.693047382</v>
      </c>
      <c r="P191" s="35">
        <f t="shared" si="57"/>
        <v>0.3510877492013611</v>
      </c>
      <c r="Q191" s="35">
        <f t="shared" si="58"/>
        <v>6.9770492491466982E-2</v>
      </c>
      <c r="R191" s="35">
        <f t="shared" si="59"/>
        <v>4.4697453760386991E-3</v>
      </c>
      <c r="S191" s="35">
        <f t="shared" si="60"/>
        <v>-0.3510877492013611</v>
      </c>
      <c r="T191" s="35">
        <f t="shared" si="61"/>
        <v>6.9770492491467051E-2</v>
      </c>
      <c r="U191" s="35">
        <f t="shared" si="62"/>
        <v>-4.4697453760387251E-3</v>
      </c>
    </row>
    <row r="192" spans="1:21" x14ac:dyDescent="0.25">
      <c r="A192" s="37">
        <f t="shared" si="42"/>
        <v>23</v>
      </c>
      <c r="B192" s="37">
        <f t="shared" si="43"/>
        <v>8</v>
      </c>
      <c r="C192" s="37">
        <f t="shared" si="44"/>
        <v>17</v>
      </c>
      <c r="D192" s="37">
        <f t="shared" si="45"/>
        <v>1</v>
      </c>
      <c r="E192" s="37">
        <f t="shared" si="46"/>
        <v>15</v>
      </c>
      <c r="F192" s="37">
        <f t="shared" si="47"/>
        <v>47</v>
      </c>
      <c r="G192" s="38">
        <f t="shared" si="48"/>
        <v>44896</v>
      </c>
      <c r="H192" s="37">
        <f t="shared" si="49"/>
        <v>55</v>
      </c>
      <c r="I192" s="38">
        <f t="shared" si="50"/>
        <v>45108</v>
      </c>
      <c r="J192" s="39">
        <f t="shared" si="51"/>
        <v>232777.6403400898</v>
      </c>
      <c r="K192" s="39">
        <f t="shared" si="52"/>
        <v>137325.9301383495</v>
      </c>
      <c r="L192" s="40">
        <f t="shared" si="53"/>
        <v>1.6485595566655789</v>
      </c>
      <c r="M192" s="40">
        <f t="shared" si="54"/>
        <v>1.6485595566655789</v>
      </c>
      <c r="N192" s="39">
        <f t="shared" si="55"/>
        <v>226389.9745075657</v>
      </c>
      <c r="O192" s="39">
        <f t="shared" si="56"/>
        <v>213782.67252642341</v>
      </c>
      <c r="P192" s="41">
        <f t="shared" si="57"/>
        <v>0.41005532173229636</v>
      </c>
      <c r="Q192" s="41">
        <f t="shared" si="58"/>
        <v>2.7441062737777026E-2</v>
      </c>
      <c r="R192" s="41">
        <f t="shared" si="59"/>
        <v>8.1601341889687526E-2</v>
      </c>
      <c r="S192" s="41">
        <f t="shared" si="60"/>
        <v>-0.41005532173229642</v>
      </c>
      <c r="T192" s="41">
        <f t="shared" si="61"/>
        <v>-2.7441062737777022E-2</v>
      </c>
      <c r="U192" s="41">
        <f t="shared" si="62"/>
        <v>-8.1601341889687484E-2</v>
      </c>
    </row>
    <row r="193" spans="1:21" x14ac:dyDescent="0.25">
      <c r="A193" s="26">
        <f t="shared" si="42"/>
        <v>24</v>
      </c>
      <c r="B193" s="26">
        <f t="shared" si="43"/>
        <v>1</v>
      </c>
      <c r="C193" s="26">
        <f t="shared" si="44"/>
        <v>16</v>
      </c>
      <c r="D193" s="26">
        <f t="shared" si="45"/>
        <v>1</v>
      </c>
      <c r="E193" s="26">
        <f t="shared" si="46"/>
        <v>16</v>
      </c>
      <c r="F193" s="26">
        <f t="shared" si="47"/>
        <v>48</v>
      </c>
      <c r="G193" s="29">
        <f t="shared" si="48"/>
        <v>44927</v>
      </c>
      <c r="H193" s="26">
        <f t="shared" si="49"/>
        <v>49</v>
      </c>
      <c r="I193" s="29">
        <f t="shared" si="50"/>
        <v>44927</v>
      </c>
      <c r="J193" s="33">
        <f t="shared" si="51"/>
        <v>188680.17009925839</v>
      </c>
      <c r="K193" s="33">
        <f t="shared" si="52"/>
        <v>113670.3201682568</v>
      </c>
      <c r="L193" s="19">
        <f t="shared" si="53"/>
        <v>1.6751754099510983</v>
      </c>
      <c r="M193" s="19">
        <f t="shared" si="54"/>
        <v>1.6751754099510983</v>
      </c>
      <c r="N193" s="33">
        <f t="shared" si="55"/>
        <v>190417.72518713219</v>
      </c>
      <c r="O193" s="33">
        <f t="shared" si="56"/>
        <v>193447.00204942969</v>
      </c>
      <c r="P193" s="35">
        <f t="shared" si="57"/>
        <v>0.39755025603136457</v>
      </c>
      <c r="Q193" s="35">
        <f t="shared" si="58"/>
        <v>9.2089968275931126E-3</v>
      </c>
      <c r="R193" s="35">
        <f t="shared" si="59"/>
        <v>2.5264085503334161E-2</v>
      </c>
      <c r="S193" s="35">
        <f t="shared" si="60"/>
        <v>-0.39755025603136451</v>
      </c>
      <c r="T193" s="35">
        <f t="shared" si="61"/>
        <v>9.208996827593019E-3</v>
      </c>
      <c r="U193" s="35">
        <f t="shared" si="62"/>
        <v>2.5264085503334144E-2</v>
      </c>
    </row>
    <row r="194" spans="1:21" x14ac:dyDescent="0.25">
      <c r="A194" s="26">
        <f t="shared" si="42"/>
        <v>24</v>
      </c>
      <c r="B194" s="26">
        <f t="shared" si="43"/>
        <v>2</v>
      </c>
      <c r="C194" s="26">
        <f t="shared" si="44"/>
        <v>16</v>
      </c>
      <c r="D194" s="26">
        <f t="shared" si="45"/>
        <v>1</v>
      </c>
      <c r="E194" s="26">
        <f t="shared" si="46"/>
        <v>16</v>
      </c>
      <c r="F194" s="26">
        <f t="shared" si="47"/>
        <v>48</v>
      </c>
      <c r="G194" s="29">
        <f t="shared" si="48"/>
        <v>44927</v>
      </c>
      <c r="H194" s="26">
        <f t="shared" si="49"/>
        <v>50</v>
      </c>
      <c r="I194" s="29">
        <f t="shared" si="50"/>
        <v>44958</v>
      </c>
      <c r="J194" s="33">
        <f t="shared" si="51"/>
        <v>167409.8501970768</v>
      </c>
      <c r="K194" s="33">
        <f t="shared" si="52"/>
        <v>98015.390212059021</v>
      </c>
      <c r="L194" s="19">
        <f t="shared" si="53"/>
        <v>1.6751754099510983</v>
      </c>
      <c r="M194" s="19">
        <f t="shared" si="54"/>
        <v>1.6751754099510983</v>
      </c>
      <c r="N194" s="33">
        <f t="shared" si="55"/>
        <v>164192.97148000283</v>
      </c>
      <c r="O194" s="33">
        <f t="shared" si="56"/>
        <v>178674.2719644967</v>
      </c>
      <c r="P194" s="35">
        <f t="shared" si="57"/>
        <v>0.41451838050942535</v>
      </c>
      <c r="Q194" s="35">
        <f t="shared" si="58"/>
        <v>1.9215588051043713E-2</v>
      </c>
      <c r="R194" s="35">
        <f t="shared" si="59"/>
        <v>6.7286493322581048E-2</v>
      </c>
      <c r="S194" s="35">
        <f t="shared" si="60"/>
        <v>-0.41451838050942535</v>
      </c>
      <c r="T194" s="35">
        <f t="shared" si="61"/>
        <v>-1.921558805104373E-2</v>
      </c>
      <c r="U194" s="35">
        <f t="shared" si="62"/>
        <v>6.7286493322580965E-2</v>
      </c>
    </row>
    <row r="195" spans="1:21" x14ac:dyDescent="0.25">
      <c r="A195" s="26">
        <f t="shared" si="42"/>
        <v>24</v>
      </c>
      <c r="B195" s="26">
        <f t="shared" si="43"/>
        <v>3</v>
      </c>
      <c r="C195" s="26">
        <f t="shared" si="44"/>
        <v>16</v>
      </c>
      <c r="D195" s="26">
        <f t="shared" si="45"/>
        <v>1</v>
      </c>
      <c r="E195" s="26">
        <f t="shared" si="46"/>
        <v>16</v>
      </c>
      <c r="F195" s="26">
        <f t="shared" si="47"/>
        <v>48</v>
      </c>
      <c r="G195" s="29">
        <f t="shared" si="48"/>
        <v>44927</v>
      </c>
      <c r="H195" s="26">
        <f t="shared" si="49"/>
        <v>51</v>
      </c>
      <c r="I195" s="29">
        <f t="shared" si="50"/>
        <v>44986</v>
      </c>
      <c r="J195" s="33">
        <f t="shared" si="51"/>
        <v>184777.90021240711</v>
      </c>
      <c r="K195" s="33">
        <f t="shared" si="52"/>
        <v>119287.8302438259</v>
      </c>
      <c r="L195" s="19">
        <f t="shared" si="53"/>
        <v>1.6751754099510983</v>
      </c>
      <c r="M195" s="19">
        <f t="shared" si="54"/>
        <v>1.6751754099510983</v>
      </c>
      <c r="N195" s="33">
        <f t="shared" si="55"/>
        <v>199828.03993087806</v>
      </c>
      <c r="O195" s="33">
        <f t="shared" si="56"/>
        <v>245192.09042590851</v>
      </c>
      <c r="P195" s="35">
        <f t="shared" si="57"/>
        <v>0.35442588043969886</v>
      </c>
      <c r="Q195" s="35">
        <f t="shared" si="58"/>
        <v>8.1449890388246723E-2</v>
      </c>
      <c r="R195" s="35">
        <f t="shared" si="59"/>
        <v>0.32695571355694419</v>
      </c>
      <c r="S195" s="35">
        <f t="shared" si="60"/>
        <v>-0.35442588043969891</v>
      </c>
      <c r="T195" s="35">
        <f t="shared" si="61"/>
        <v>8.1449890388246793E-2</v>
      </c>
      <c r="U195" s="35">
        <f t="shared" si="62"/>
        <v>0.32695571355694408</v>
      </c>
    </row>
    <row r="196" spans="1:21" x14ac:dyDescent="0.25">
      <c r="A196" s="26">
        <f t="shared" si="42"/>
        <v>24</v>
      </c>
      <c r="B196" s="26">
        <f t="shared" si="43"/>
        <v>4</v>
      </c>
      <c r="C196" s="26">
        <f t="shared" si="44"/>
        <v>16</v>
      </c>
      <c r="D196" s="26">
        <f t="shared" si="45"/>
        <v>1</v>
      </c>
      <c r="E196" s="26">
        <f t="shared" si="46"/>
        <v>16</v>
      </c>
      <c r="F196" s="26">
        <f t="shared" si="47"/>
        <v>48</v>
      </c>
      <c r="G196" s="29">
        <f t="shared" si="48"/>
        <v>44927</v>
      </c>
      <c r="H196" s="26">
        <f t="shared" si="49"/>
        <v>52</v>
      </c>
      <c r="I196" s="29">
        <f t="shared" si="50"/>
        <v>45017</v>
      </c>
      <c r="J196" s="33">
        <f t="shared" si="51"/>
        <v>193149.96007275581</v>
      </c>
      <c r="K196" s="33">
        <f t="shared" si="52"/>
        <v>113637.6201777458</v>
      </c>
      <c r="L196" s="19">
        <f t="shared" si="53"/>
        <v>1.6751754099510983</v>
      </c>
      <c r="M196" s="19">
        <f t="shared" si="54"/>
        <v>1.6751754099510983</v>
      </c>
      <c r="N196" s="33">
        <f t="shared" si="55"/>
        <v>190362.94696712252</v>
      </c>
      <c r="O196" s="33">
        <f t="shared" si="56"/>
        <v>240554.6013124568</v>
      </c>
      <c r="P196" s="35">
        <f t="shared" si="57"/>
        <v>0.41166117696871002</v>
      </c>
      <c r="Q196" s="35">
        <f t="shared" si="58"/>
        <v>1.4429270938412189E-2</v>
      </c>
      <c r="R196" s="35">
        <f t="shared" si="59"/>
        <v>0.24542920548285169</v>
      </c>
      <c r="S196" s="35">
        <f t="shared" si="60"/>
        <v>-0.41166117696871007</v>
      </c>
      <c r="T196" s="35">
        <f t="shared" si="61"/>
        <v>-1.4429270938412175E-2</v>
      </c>
      <c r="U196" s="35">
        <f t="shared" si="62"/>
        <v>0.24542920548285174</v>
      </c>
    </row>
    <row r="197" spans="1:21" x14ac:dyDescent="0.25">
      <c r="A197" s="26">
        <f t="shared" si="42"/>
        <v>24</v>
      </c>
      <c r="B197" s="26">
        <f t="shared" si="43"/>
        <v>5</v>
      </c>
      <c r="C197" s="26">
        <f t="shared" si="44"/>
        <v>16</v>
      </c>
      <c r="D197" s="26">
        <f t="shared" si="45"/>
        <v>1</v>
      </c>
      <c r="E197" s="26">
        <f t="shared" si="46"/>
        <v>16</v>
      </c>
      <c r="F197" s="26">
        <f t="shared" si="47"/>
        <v>48</v>
      </c>
      <c r="G197" s="29">
        <f t="shared" si="48"/>
        <v>44927</v>
      </c>
      <c r="H197" s="26">
        <f t="shared" si="49"/>
        <v>53</v>
      </c>
      <c r="I197" s="29">
        <f t="shared" si="50"/>
        <v>45047</v>
      </c>
      <c r="J197" s="33">
        <f t="shared" si="51"/>
        <v>209624.34030818939</v>
      </c>
      <c r="K197" s="33">
        <f t="shared" si="52"/>
        <v>119652.1701276302</v>
      </c>
      <c r="L197" s="19">
        <f t="shared" si="53"/>
        <v>1.6751754099510983</v>
      </c>
      <c r="M197" s="19">
        <f t="shared" si="54"/>
        <v>1.6751754099510983</v>
      </c>
      <c r="N197" s="33">
        <f t="shared" si="55"/>
        <v>200438.37314509149</v>
      </c>
      <c r="O197" s="33">
        <f t="shared" si="56"/>
        <v>236919.85503684089</v>
      </c>
      <c r="P197" s="35">
        <f t="shared" si="57"/>
        <v>0.42920669445295445</v>
      </c>
      <c r="Q197" s="35">
        <f t="shared" si="58"/>
        <v>4.3821090382885425E-2</v>
      </c>
      <c r="R197" s="35">
        <f t="shared" si="59"/>
        <v>0.13021157127326757</v>
      </c>
      <c r="S197" s="35">
        <f t="shared" si="60"/>
        <v>-0.42920669445295445</v>
      </c>
      <c r="T197" s="35">
        <f t="shared" si="61"/>
        <v>-4.3821090382885397E-2</v>
      </c>
      <c r="U197" s="35">
        <f t="shared" si="62"/>
        <v>0.13021157127326766</v>
      </c>
    </row>
    <row r="198" spans="1:21" x14ac:dyDescent="0.25">
      <c r="A198" s="26">
        <f t="shared" si="42"/>
        <v>24</v>
      </c>
      <c r="B198" s="26">
        <f t="shared" si="43"/>
        <v>6</v>
      </c>
      <c r="C198" s="26">
        <f t="shared" si="44"/>
        <v>16</v>
      </c>
      <c r="D198" s="26">
        <f t="shared" si="45"/>
        <v>1</v>
      </c>
      <c r="E198" s="26">
        <f t="shared" si="46"/>
        <v>16</v>
      </c>
      <c r="F198" s="26">
        <f t="shared" si="47"/>
        <v>48</v>
      </c>
      <c r="G198" s="29">
        <f t="shared" si="48"/>
        <v>44927</v>
      </c>
      <c r="H198" s="26">
        <f t="shared" si="49"/>
        <v>54</v>
      </c>
      <c r="I198" s="29">
        <f t="shared" si="50"/>
        <v>45078</v>
      </c>
      <c r="J198" s="33">
        <f t="shared" si="51"/>
        <v>205503.24020504949</v>
      </c>
      <c r="K198" s="33">
        <f t="shared" si="52"/>
        <v>133353.570147872</v>
      </c>
      <c r="L198" s="19">
        <f t="shared" si="53"/>
        <v>1.6751754099510983</v>
      </c>
      <c r="M198" s="19">
        <f t="shared" si="54"/>
        <v>1.6751754099510983</v>
      </c>
      <c r="N198" s="33">
        <f t="shared" si="55"/>
        <v>223390.62154090402</v>
      </c>
      <c r="O198" s="33">
        <f t="shared" si="56"/>
        <v>238257.52573185851</v>
      </c>
      <c r="P198" s="35">
        <f t="shared" si="57"/>
        <v>0.3510877492013611</v>
      </c>
      <c r="Q198" s="35">
        <f t="shared" si="58"/>
        <v>8.7041845753899769E-2</v>
      </c>
      <c r="R198" s="35">
        <f t="shared" si="59"/>
        <v>0.15938573763667696</v>
      </c>
      <c r="S198" s="35">
        <f t="shared" si="60"/>
        <v>-0.3510877492013611</v>
      </c>
      <c r="T198" s="35">
        <f t="shared" si="61"/>
        <v>8.7041845753899727E-2</v>
      </c>
      <c r="U198" s="35">
        <f t="shared" si="62"/>
        <v>0.15938573763667696</v>
      </c>
    </row>
    <row r="199" spans="1:21" x14ac:dyDescent="0.25">
      <c r="A199" s="26">
        <f t="shared" si="42"/>
        <v>24</v>
      </c>
      <c r="B199" s="26">
        <f t="shared" si="43"/>
        <v>7</v>
      </c>
      <c r="C199" s="26">
        <f t="shared" si="44"/>
        <v>16</v>
      </c>
      <c r="D199" s="26">
        <f t="shared" si="45"/>
        <v>1</v>
      </c>
      <c r="E199" s="26">
        <f t="shared" si="46"/>
        <v>16</v>
      </c>
      <c r="F199" s="26">
        <f t="shared" si="47"/>
        <v>48</v>
      </c>
      <c r="G199" s="29">
        <f t="shared" si="48"/>
        <v>44927</v>
      </c>
      <c r="H199" s="26">
        <f t="shared" si="49"/>
        <v>55</v>
      </c>
      <c r="I199" s="29">
        <f t="shared" si="50"/>
        <v>45108</v>
      </c>
      <c r="J199" s="33">
        <f t="shared" si="51"/>
        <v>232777.6403400898</v>
      </c>
      <c r="K199" s="33">
        <f t="shared" si="52"/>
        <v>137325.9301383495</v>
      </c>
      <c r="L199" s="19">
        <f t="shared" si="53"/>
        <v>1.6751754099510983</v>
      </c>
      <c r="M199" s="19">
        <f t="shared" si="54"/>
        <v>1.6751754099510983</v>
      </c>
      <c r="N199" s="33">
        <f t="shared" si="55"/>
        <v>230045.0213164255</v>
      </c>
      <c r="O199" s="33">
        <f t="shared" si="56"/>
        <v>253420.1229332168</v>
      </c>
      <c r="P199" s="35">
        <f t="shared" si="57"/>
        <v>0.41005532173229636</v>
      </c>
      <c r="Q199" s="35">
        <f t="shared" si="58"/>
        <v>1.1739181734430873E-2</v>
      </c>
      <c r="R199" s="35">
        <f t="shared" si="59"/>
        <v>8.8678975192669651E-2</v>
      </c>
      <c r="S199" s="35">
        <f t="shared" si="60"/>
        <v>-0.41005532173229642</v>
      </c>
      <c r="T199" s="35">
        <f t="shared" si="61"/>
        <v>-1.1739181734430892E-2</v>
      </c>
      <c r="U199" s="35">
        <f t="shared" si="62"/>
        <v>8.8678975192669762E-2</v>
      </c>
    </row>
    <row r="200" spans="1:21" x14ac:dyDescent="0.25">
      <c r="A200" s="37">
        <f t="shared" si="42"/>
        <v>24</v>
      </c>
      <c r="B200" s="37">
        <f t="shared" si="43"/>
        <v>8</v>
      </c>
      <c r="C200" s="37">
        <f t="shared" si="44"/>
        <v>16</v>
      </c>
      <c r="D200" s="37">
        <f t="shared" si="45"/>
        <v>1</v>
      </c>
      <c r="E200" s="37">
        <f t="shared" si="46"/>
        <v>16</v>
      </c>
      <c r="F200" s="37">
        <f t="shared" si="47"/>
        <v>48</v>
      </c>
      <c r="G200" s="38">
        <f t="shared" si="48"/>
        <v>44927</v>
      </c>
      <c r="H200" s="37">
        <f t="shared" si="49"/>
        <v>56</v>
      </c>
      <c r="I200" s="38">
        <f t="shared" si="50"/>
        <v>45139</v>
      </c>
      <c r="J200" s="39">
        <f t="shared" si="51"/>
        <v>246129.77018761629</v>
      </c>
      <c r="K200" s="39">
        <f t="shared" si="52"/>
        <v>142612.7901010513</v>
      </c>
      <c r="L200" s="40">
        <f t="shared" si="53"/>
        <v>1.6751754099510983</v>
      </c>
      <c r="M200" s="40">
        <f t="shared" si="54"/>
        <v>1.6751754099510983</v>
      </c>
      <c r="N200" s="39">
        <f t="shared" si="55"/>
        <v>238901.43912179855</v>
      </c>
      <c r="O200" s="39">
        <f t="shared" si="56"/>
        <v>254761.02751866769</v>
      </c>
      <c r="P200" s="41">
        <f t="shared" si="57"/>
        <v>0.42057886783731013</v>
      </c>
      <c r="Q200" s="41">
        <f t="shared" si="58"/>
        <v>2.9367967395036478E-2</v>
      </c>
      <c r="R200" s="41">
        <f t="shared" si="59"/>
        <v>3.5067912851306393E-2</v>
      </c>
      <c r="S200" s="41">
        <f t="shared" si="60"/>
        <v>-0.42057886783731013</v>
      </c>
      <c r="T200" s="41">
        <f t="shared" si="61"/>
        <v>-2.9367967395036443E-2</v>
      </c>
      <c r="U200" s="41">
        <f t="shared" si="62"/>
        <v>3.5067912851306282E-2</v>
      </c>
    </row>
    <row r="201" spans="1:21" x14ac:dyDescent="0.25">
      <c r="A201" s="26">
        <f t="shared" ref="A201:A264" si="63">INT((ROW()-ROW($A$9))/Horizon)+1</f>
        <v>25</v>
      </c>
      <c r="B201" s="26">
        <f t="shared" ref="B201:B264" si="64">MOD(ROW()-ROW($A$9),Horizon)+1</f>
        <v>1</v>
      </c>
      <c r="C201" s="26">
        <f t="shared" ref="C201:C264" si="65">(NMonths-MinTrain)-(A201-1)</f>
        <v>15</v>
      </c>
      <c r="D201" s="26">
        <f t="shared" ref="D201:D264" si="66">IF(C201&lt;=TestsUsed+Horizon-1,1,0)</f>
        <v>1</v>
      </c>
      <c r="E201" s="26">
        <f t="shared" ref="E201:E264" si="67">IF(D201=1,TestsUsed+Horizon-C201,"")</f>
        <v>17</v>
      </c>
      <c r="F201" s="26">
        <f t="shared" ref="F201:F264" si="68">NMonths-C201</f>
        <v>49</v>
      </c>
      <c r="G201" s="29">
        <f t="shared" ref="G201:G264" si="69">INDEX(Months,F201+1)</f>
        <v>44958</v>
      </c>
      <c r="H201" s="26">
        <f t="shared" ref="H201:H264" si="70">F201+B201</f>
        <v>50</v>
      </c>
      <c r="I201" s="29">
        <f t="shared" ref="I201:I264" si="71">INDEX(Months,H201)</f>
        <v>44958</v>
      </c>
      <c r="J201" s="33">
        <f t="shared" ref="J201:J264" si="72">INDEX(Sales,H201)</f>
        <v>167409.8501970768</v>
      </c>
      <c r="K201" s="33">
        <f t="shared" ref="K201:K264" si="73">INDEX(Sales,H201-Season)</f>
        <v>98015.390212059021</v>
      </c>
      <c r="L201" s="19">
        <f t="shared" ref="L201:L264" si="74">INDEX(Sales,F201)/INDEX(Sales,F201-Season)</f>
        <v>1.6598894928770385</v>
      </c>
      <c r="M201" s="19">
        <f t="shared" ref="M201:M264" si="75">MIN(MAX(L201,ClipLow),ClipHigh)</f>
        <v>1.6598894928770385</v>
      </c>
      <c r="N201" s="33">
        <f t="shared" ref="N201:N264" si="76">K201*M201</f>
        <v>162694.7163532397</v>
      </c>
      <c r="O201" s="33">
        <f t="shared" ref="O201:O264" si="77">INDEX(HWTable,MATCH(C201,HWOffsets,0),B201)</f>
        <v>171946.8201074872</v>
      </c>
      <c r="P201" s="35">
        <f t="shared" ref="P201:P264" si="78">ABS(K201-J201)/J201</f>
        <v>0.41451838050942535</v>
      </c>
      <c r="Q201" s="35">
        <f t="shared" ref="Q201:Q264" si="79">ABS(N201-J201)/J201</f>
        <v>2.8165211534962802E-2</v>
      </c>
      <c r="R201" s="35">
        <f t="shared" ref="R201:R264" si="80">ABS(O201-J201)/J201</f>
        <v>2.7100973479573839E-2</v>
      </c>
      <c r="S201" s="35">
        <f t="shared" ref="S201:S264" si="81">K201/J201-1</f>
        <v>-0.41451838050942535</v>
      </c>
      <c r="T201" s="35">
        <f t="shared" ref="T201:T264" si="82">N201/J201-1</f>
        <v>-2.8165211534962764E-2</v>
      </c>
      <c r="U201" s="35">
        <f t="shared" ref="U201:U264" si="83">O201/J201-1</f>
        <v>2.7100973479573742E-2</v>
      </c>
    </row>
    <row r="202" spans="1:21" x14ac:dyDescent="0.25">
      <c r="A202" s="26">
        <f t="shared" si="63"/>
        <v>25</v>
      </c>
      <c r="B202" s="26">
        <f t="shared" si="64"/>
        <v>2</v>
      </c>
      <c r="C202" s="26">
        <f t="shared" si="65"/>
        <v>15</v>
      </c>
      <c r="D202" s="26">
        <f t="shared" si="66"/>
        <v>1</v>
      </c>
      <c r="E202" s="26">
        <f t="shared" si="67"/>
        <v>17</v>
      </c>
      <c r="F202" s="26">
        <f t="shared" si="68"/>
        <v>49</v>
      </c>
      <c r="G202" s="29">
        <f t="shared" si="69"/>
        <v>44958</v>
      </c>
      <c r="H202" s="26">
        <f t="shared" si="70"/>
        <v>51</v>
      </c>
      <c r="I202" s="29">
        <f t="shared" si="71"/>
        <v>44986</v>
      </c>
      <c r="J202" s="33">
        <f t="shared" si="72"/>
        <v>184777.90021240711</v>
      </c>
      <c r="K202" s="33">
        <f t="shared" si="73"/>
        <v>119287.8302438259</v>
      </c>
      <c r="L202" s="19">
        <f t="shared" si="74"/>
        <v>1.6598894928770385</v>
      </c>
      <c r="M202" s="19">
        <f t="shared" si="75"/>
        <v>1.6598894928770385</v>
      </c>
      <c r="N202" s="33">
        <f t="shared" si="76"/>
        <v>198004.61604982641</v>
      </c>
      <c r="O202" s="33">
        <f t="shared" si="77"/>
        <v>232872.5944217745</v>
      </c>
      <c r="P202" s="35">
        <f t="shared" si="78"/>
        <v>0.35442588043969886</v>
      </c>
      <c r="Q202" s="35">
        <f t="shared" si="79"/>
        <v>7.1581697931488733E-2</v>
      </c>
      <c r="R202" s="35">
        <f t="shared" si="80"/>
        <v>0.26028380100694537</v>
      </c>
      <c r="S202" s="35">
        <f t="shared" si="81"/>
        <v>-0.35442588043969891</v>
      </c>
      <c r="T202" s="35">
        <f t="shared" si="82"/>
        <v>7.1581697931488719E-2</v>
      </c>
      <c r="U202" s="35">
        <f t="shared" si="83"/>
        <v>0.26028380100694548</v>
      </c>
    </row>
    <row r="203" spans="1:21" x14ac:dyDescent="0.25">
      <c r="A203" s="26">
        <f t="shared" si="63"/>
        <v>25</v>
      </c>
      <c r="B203" s="26">
        <f t="shared" si="64"/>
        <v>3</v>
      </c>
      <c r="C203" s="26">
        <f t="shared" si="65"/>
        <v>15</v>
      </c>
      <c r="D203" s="26">
        <f t="shared" si="66"/>
        <v>1</v>
      </c>
      <c r="E203" s="26">
        <f t="shared" si="67"/>
        <v>17</v>
      </c>
      <c r="F203" s="26">
        <f t="shared" si="68"/>
        <v>49</v>
      </c>
      <c r="G203" s="29">
        <f t="shared" si="69"/>
        <v>44958</v>
      </c>
      <c r="H203" s="26">
        <f t="shared" si="70"/>
        <v>52</v>
      </c>
      <c r="I203" s="29">
        <f t="shared" si="71"/>
        <v>45017</v>
      </c>
      <c r="J203" s="33">
        <f t="shared" si="72"/>
        <v>193149.96007275581</v>
      </c>
      <c r="K203" s="33">
        <f t="shared" si="73"/>
        <v>113637.6201777458</v>
      </c>
      <c r="L203" s="19">
        <f t="shared" si="74"/>
        <v>1.6598894928770385</v>
      </c>
      <c r="M203" s="19">
        <f t="shared" si="75"/>
        <v>1.6598894928770385</v>
      </c>
      <c r="N203" s="33">
        <f t="shared" si="76"/>
        <v>188625.89172859199</v>
      </c>
      <c r="O203" s="33">
        <f t="shared" si="77"/>
        <v>225540.32276795551</v>
      </c>
      <c r="P203" s="35">
        <f t="shared" si="78"/>
        <v>0.41166117696871002</v>
      </c>
      <c r="Q203" s="35">
        <f t="shared" si="79"/>
        <v>2.3422569398718472E-2</v>
      </c>
      <c r="R203" s="35">
        <f t="shared" si="80"/>
        <v>0.16769541491491319</v>
      </c>
      <c r="S203" s="35">
        <f t="shared" si="81"/>
        <v>-0.41166117696871007</v>
      </c>
      <c r="T203" s="35">
        <f t="shared" si="82"/>
        <v>-2.3422569398718451E-2</v>
      </c>
      <c r="U203" s="35">
        <f t="shared" si="83"/>
        <v>0.16769541491491324</v>
      </c>
    </row>
    <row r="204" spans="1:21" x14ac:dyDescent="0.25">
      <c r="A204" s="26">
        <f t="shared" si="63"/>
        <v>25</v>
      </c>
      <c r="B204" s="26">
        <f t="shared" si="64"/>
        <v>4</v>
      </c>
      <c r="C204" s="26">
        <f t="shared" si="65"/>
        <v>15</v>
      </c>
      <c r="D204" s="26">
        <f t="shared" si="66"/>
        <v>1</v>
      </c>
      <c r="E204" s="26">
        <f t="shared" si="67"/>
        <v>17</v>
      </c>
      <c r="F204" s="26">
        <f t="shared" si="68"/>
        <v>49</v>
      </c>
      <c r="G204" s="29">
        <f t="shared" si="69"/>
        <v>44958</v>
      </c>
      <c r="H204" s="26">
        <f t="shared" si="70"/>
        <v>53</v>
      </c>
      <c r="I204" s="29">
        <f t="shared" si="71"/>
        <v>45047</v>
      </c>
      <c r="J204" s="33">
        <f t="shared" si="72"/>
        <v>209624.34030818939</v>
      </c>
      <c r="K204" s="33">
        <f t="shared" si="73"/>
        <v>119652.1701276302</v>
      </c>
      <c r="L204" s="19">
        <f t="shared" si="74"/>
        <v>1.6598894928770385</v>
      </c>
      <c r="M204" s="19">
        <f t="shared" si="75"/>
        <v>1.6598894928770385</v>
      </c>
      <c r="N204" s="33">
        <f t="shared" si="76"/>
        <v>198609.37999478923</v>
      </c>
      <c r="O204" s="33">
        <f t="shared" si="77"/>
        <v>219348.2037827431</v>
      </c>
      <c r="P204" s="35">
        <f t="shared" si="78"/>
        <v>0.42920669445295445</v>
      </c>
      <c r="Q204" s="35">
        <f t="shared" si="79"/>
        <v>5.2546189517906121E-2</v>
      </c>
      <c r="R204" s="35">
        <f t="shared" si="80"/>
        <v>4.6387091595650118E-2</v>
      </c>
      <c r="S204" s="35">
        <f t="shared" si="81"/>
        <v>-0.42920669445295445</v>
      </c>
      <c r="T204" s="35">
        <f t="shared" si="82"/>
        <v>-5.2546189517906128E-2</v>
      </c>
      <c r="U204" s="35">
        <f t="shared" si="83"/>
        <v>4.6387091595650132E-2</v>
      </c>
    </row>
    <row r="205" spans="1:21" x14ac:dyDescent="0.25">
      <c r="A205" s="26">
        <f t="shared" si="63"/>
        <v>25</v>
      </c>
      <c r="B205" s="26">
        <f t="shared" si="64"/>
        <v>5</v>
      </c>
      <c r="C205" s="26">
        <f t="shared" si="65"/>
        <v>15</v>
      </c>
      <c r="D205" s="26">
        <f t="shared" si="66"/>
        <v>1</v>
      </c>
      <c r="E205" s="26">
        <f t="shared" si="67"/>
        <v>17</v>
      </c>
      <c r="F205" s="26">
        <f t="shared" si="68"/>
        <v>49</v>
      </c>
      <c r="G205" s="29">
        <f t="shared" si="69"/>
        <v>44958</v>
      </c>
      <c r="H205" s="26">
        <f t="shared" si="70"/>
        <v>54</v>
      </c>
      <c r="I205" s="29">
        <f t="shared" si="71"/>
        <v>45078</v>
      </c>
      <c r="J205" s="33">
        <f t="shared" si="72"/>
        <v>205503.24020504949</v>
      </c>
      <c r="K205" s="33">
        <f t="shared" si="73"/>
        <v>133353.570147872</v>
      </c>
      <c r="L205" s="19">
        <f t="shared" si="74"/>
        <v>1.6598894928770385</v>
      </c>
      <c r="M205" s="19">
        <f t="shared" si="75"/>
        <v>1.6598894928770385</v>
      </c>
      <c r="N205" s="33">
        <f t="shared" si="76"/>
        <v>221352.18992609382</v>
      </c>
      <c r="O205" s="33">
        <f t="shared" si="77"/>
        <v>217880.26209312069</v>
      </c>
      <c r="P205" s="35">
        <f t="shared" si="78"/>
        <v>0.3510877492013611</v>
      </c>
      <c r="Q205" s="35">
        <f t="shared" si="79"/>
        <v>7.712262689985025E-2</v>
      </c>
      <c r="R205" s="35">
        <f t="shared" si="80"/>
        <v>6.0227867335432339E-2</v>
      </c>
      <c r="S205" s="35">
        <f t="shared" si="81"/>
        <v>-0.3510877492013611</v>
      </c>
      <c r="T205" s="35">
        <f t="shared" si="82"/>
        <v>7.7122626899850166E-2</v>
      </c>
      <c r="U205" s="35">
        <f t="shared" si="83"/>
        <v>6.0227867335432395E-2</v>
      </c>
    </row>
    <row r="206" spans="1:21" x14ac:dyDescent="0.25">
      <c r="A206" s="26">
        <f t="shared" si="63"/>
        <v>25</v>
      </c>
      <c r="B206" s="26">
        <f t="shared" si="64"/>
        <v>6</v>
      </c>
      <c r="C206" s="26">
        <f t="shared" si="65"/>
        <v>15</v>
      </c>
      <c r="D206" s="26">
        <f t="shared" si="66"/>
        <v>1</v>
      </c>
      <c r="E206" s="26">
        <f t="shared" si="67"/>
        <v>17</v>
      </c>
      <c r="F206" s="26">
        <f t="shared" si="68"/>
        <v>49</v>
      </c>
      <c r="G206" s="29">
        <f t="shared" si="69"/>
        <v>44958</v>
      </c>
      <c r="H206" s="26">
        <f t="shared" si="70"/>
        <v>55</v>
      </c>
      <c r="I206" s="29">
        <f t="shared" si="71"/>
        <v>45108</v>
      </c>
      <c r="J206" s="33">
        <f t="shared" si="72"/>
        <v>232777.6403400898</v>
      </c>
      <c r="K206" s="33">
        <f t="shared" si="73"/>
        <v>137325.9301383495</v>
      </c>
      <c r="L206" s="19">
        <f t="shared" si="74"/>
        <v>1.6598894928770385</v>
      </c>
      <c r="M206" s="19">
        <f t="shared" si="75"/>
        <v>1.6598894928770385</v>
      </c>
      <c r="N206" s="33">
        <f t="shared" si="76"/>
        <v>227945.86853621257</v>
      </c>
      <c r="O206" s="33">
        <f t="shared" si="77"/>
        <v>228966.44233610769</v>
      </c>
      <c r="P206" s="35">
        <f t="shared" si="78"/>
        <v>0.41005532173229636</v>
      </c>
      <c r="Q206" s="35">
        <f t="shared" si="79"/>
        <v>2.0757027164713827E-2</v>
      </c>
      <c r="R206" s="35">
        <f t="shared" si="80"/>
        <v>1.6372697989437125E-2</v>
      </c>
      <c r="S206" s="35">
        <f t="shared" si="81"/>
        <v>-0.41005532173229642</v>
      </c>
      <c r="T206" s="35">
        <f t="shared" si="82"/>
        <v>-2.0757027164713837E-2</v>
      </c>
      <c r="U206" s="35">
        <f t="shared" si="83"/>
        <v>-1.6372697989437079E-2</v>
      </c>
    </row>
    <row r="207" spans="1:21" x14ac:dyDescent="0.25">
      <c r="A207" s="26">
        <f t="shared" si="63"/>
        <v>25</v>
      </c>
      <c r="B207" s="26">
        <f t="shared" si="64"/>
        <v>7</v>
      </c>
      <c r="C207" s="26">
        <f t="shared" si="65"/>
        <v>15</v>
      </c>
      <c r="D207" s="26">
        <f t="shared" si="66"/>
        <v>1</v>
      </c>
      <c r="E207" s="26">
        <f t="shared" si="67"/>
        <v>17</v>
      </c>
      <c r="F207" s="26">
        <f t="shared" si="68"/>
        <v>49</v>
      </c>
      <c r="G207" s="29">
        <f t="shared" si="69"/>
        <v>44958</v>
      </c>
      <c r="H207" s="26">
        <f t="shared" si="70"/>
        <v>56</v>
      </c>
      <c r="I207" s="29">
        <f t="shared" si="71"/>
        <v>45139</v>
      </c>
      <c r="J207" s="33">
        <f t="shared" si="72"/>
        <v>246129.77018761629</v>
      </c>
      <c r="K207" s="33">
        <f t="shared" si="73"/>
        <v>142612.7901010513</v>
      </c>
      <c r="L207" s="19">
        <f t="shared" si="74"/>
        <v>1.6598894928770385</v>
      </c>
      <c r="M207" s="19">
        <f t="shared" si="75"/>
        <v>1.6598894928770385</v>
      </c>
      <c r="N207" s="33">
        <f t="shared" si="76"/>
        <v>236721.47183861356</v>
      </c>
      <c r="O207" s="33">
        <f t="shared" si="77"/>
        <v>227478.63910086069</v>
      </c>
      <c r="P207" s="35">
        <f t="shared" si="78"/>
        <v>0.42057886783731013</v>
      </c>
      <c r="Q207" s="35">
        <f t="shared" si="79"/>
        <v>3.8224950772233292E-2</v>
      </c>
      <c r="R207" s="35">
        <f t="shared" si="80"/>
        <v>7.5777631744987542E-2</v>
      </c>
      <c r="S207" s="35">
        <f t="shared" si="81"/>
        <v>-0.42057886783731013</v>
      </c>
      <c r="T207" s="35">
        <f t="shared" si="82"/>
        <v>-3.8224950772233313E-2</v>
      </c>
      <c r="U207" s="35">
        <f t="shared" si="83"/>
        <v>-7.5777631744987528E-2</v>
      </c>
    </row>
    <row r="208" spans="1:21" x14ac:dyDescent="0.25">
      <c r="A208" s="37">
        <f t="shared" si="63"/>
        <v>25</v>
      </c>
      <c r="B208" s="37">
        <f t="shared" si="64"/>
        <v>8</v>
      </c>
      <c r="C208" s="37">
        <f t="shared" si="65"/>
        <v>15</v>
      </c>
      <c r="D208" s="37">
        <f t="shared" si="66"/>
        <v>1</v>
      </c>
      <c r="E208" s="37">
        <f t="shared" si="67"/>
        <v>17</v>
      </c>
      <c r="F208" s="37">
        <f t="shared" si="68"/>
        <v>49</v>
      </c>
      <c r="G208" s="38">
        <f t="shared" si="69"/>
        <v>44958</v>
      </c>
      <c r="H208" s="37">
        <f t="shared" si="70"/>
        <v>57</v>
      </c>
      <c r="I208" s="38">
        <f t="shared" si="71"/>
        <v>45170</v>
      </c>
      <c r="J208" s="39">
        <f t="shared" si="72"/>
        <v>261138.52030706409</v>
      </c>
      <c r="K208" s="39">
        <f t="shared" si="73"/>
        <v>137519.58025622371</v>
      </c>
      <c r="L208" s="40">
        <f t="shared" si="74"/>
        <v>1.6598894928770385</v>
      </c>
      <c r="M208" s="40">
        <f t="shared" si="75"/>
        <v>1.6598894928770385</v>
      </c>
      <c r="N208" s="39">
        <f t="shared" si="76"/>
        <v>228267.30633216636</v>
      </c>
      <c r="O208" s="39">
        <f t="shared" si="77"/>
        <v>216293.57168863941</v>
      </c>
      <c r="P208" s="41">
        <f t="shared" si="78"/>
        <v>0.47338454665930169</v>
      </c>
      <c r="Q208" s="41">
        <f t="shared" si="79"/>
        <v>0.12587654221309655</v>
      </c>
      <c r="R208" s="41">
        <f t="shared" si="80"/>
        <v>0.1717285851420656</v>
      </c>
      <c r="S208" s="41">
        <f t="shared" si="81"/>
        <v>-0.47338454665930163</v>
      </c>
      <c r="T208" s="41">
        <f t="shared" si="82"/>
        <v>-0.12587654221309652</v>
      </c>
      <c r="U208" s="41">
        <f t="shared" si="83"/>
        <v>-0.17172858514206557</v>
      </c>
    </row>
    <row r="209" spans="1:21" x14ac:dyDescent="0.25">
      <c r="A209" s="26">
        <f t="shared" si="63"/>
        <v>26</v>
      </c>
      <c r="B209" s="26">
        <f t="shared" si="64"/>
        <v>1</v>
      </c>
      <c r="C209" s="26">
        <f t="shared" si="65"/>
        <v>14</v>
      </c>
      <c r="D209" s="26">
        <f t="shared" si="66"/>
        <v>1</v>
      </c>
      <c r="E209" s="26">
        <f t="shared" si="67"/>
        <v>18</v>
      </c>
      <c r="F209" s="26">
        <f t="shared" si="68"/>
        <v>50</v>
      </c>
      <c r="G209" s="29">
        <f t="shared" si="69"/>
        <v>44986</v>
      </c>
      <c r="H209" s="26">
        <f t="shared" si="70"/>
        <v>51</v>
      </c>
      <c r="I209" s="29">
        <f t="shared" si="71"/>
        <v>44986</v>
      </c>
      <c r="J209" s="33">
        <f t="shared" si="72"/>
        <v>184777.90021240711</v>
      </c>
      <c r="K209" s="33">
        <f t="shared" si="73"/>
        <v>119287.8302438259</v>
      </c>
      <c r="L209" s="19">
        <f t="shared" si="74"/>
        <v>1.7079955488100484</v>
      </c>
      <c r="M209" s="19">
        <f t="shared" si="75"/>
        <v>1.7079955488100484</v>
      </c>
      <c r="N209" s="33">
        <f t="shared" si="76"/>
        <v>203743.08308366331</v>
      </c>
      <c r="O209" s="33">
        <f t="shared" si="77"/>
        <v>258308.08741403031</v>
      </c>
      <c r="P209" s="35">
        <f t="shared" si="78"/>
        <v>0.35442588043969886</v>
      </c>
      <c r="Q209" s="35">
        <f t="shared" si="79"/>
        <v>0.10263772263596034</v>
      </c>
      <c r="R209" s="35">
        <f t="shared" si="80"/>
        <v>0.39793821185920114</v>
      </c>
      <c r="S209" s="35">
        <f t="shared" si="81"/>
        <v>-0.35442588043969891</v>
      </c>
      <c r="T209" s="35">
        <f t="shared" si="82"/>
        <v>0.10263772263596027</v>
      </c>
      <c r="U209" s="35">
        <f t="shared" si="83"/>
        <v>0.3979382118592012</v>
      </c>
    </row>
    <row r="210" spans="1:21" x14ac:dyDescent="0.25">
      <c r="A210" s="26">
        <f t="shared" si="63"/>
        <v>26</v>
      </c>
      <c r="B210" s="26">
        <f t="shared" si="64"/>
        <v>2</v>
      </c>
      <c r="C210" s="26">
        <f t="shared" si="65"/>
        <v>14</v>
      </c>
      <c r="D210" s="26">
        <f t="shared" si="66"/>
        <v>1</v>
      </c>
      <c r="E210" s="26">
        <f t="shared" si="67"/>
        <v>18</v>
      </c>
      <c r="F210" s="26">
        <f t="shared" si="68"/>
        <v>50</v>
      </c>
      <c r="G210" s="29">
        <f t="shared" si="69"/>
        <v>44986</v>
      </c>
      <c r="H210" s="26">
        <f t="shared" si="70"/>
        <v>52</v>
      </c>
      <c r="I210" s="29">
        <f t="shared" si="71"/>
        <v>45017</v>
      </c>
      <c r="J210" s="33">
        <f t="shared" si="72"/>
        <v>193149.96007275581</v>
      </c>
      <c r="K210" s="33">
        <f t="shared" si="73"/>
        <v>113637.6201777458</v>
      </c>
      <c r="L210" s="19">
        <f t="shared" si="74"/>
        <v>1.7079955488100484</v>
      </c>
      <c r="M210" s="19">
        <f t="shared" si="75"/>
        <v>1.7079955488100484</v>
      </c>
      <c r="N210" s="33">
        <f t="shared" si="76"/>
        <v>194092.54944095679</v>
      </c>
      <c r="O210" s="33">
        <f t="shared" si="77"/>
        <v>281288.03510837379</v>
      </c>
      <c r="P210" s="35">
        <f t="shared" si="78"/>
        <v>0.41166117696871002</v>
      </c>
      <c r="Q210" s="35">
        <f t="shared" si="79"/>
        <v>4.8800909295861226E-3</v>
      </c>
      <c r="R210" s="35">
        <f t="shared" si="80"/>
        <v>0.4563194059290413</v>
      </c>
      <c r="S210" s="35">
        <f t="shared" si="81"/>
        <v>-0.41166117696871007</v>
      </c>
      <c r="T210" s="35">
        <f t="shared" si="82"/>
        <v>4.8800909295860784E-3</v>
      </c>
      <c r="U210" s="35">
        <f t="shared" si="83"/>
        <v>0.45631940592904119</v>
      </c>
    </row>
    <row r="211" spans="1:21" x14ac:dyDescent="0.25">
      <c r="A211" s="26">
        <f t="shared" si="63"/>
        <v>26</v>
      </c>
      <c r="B211" s="26">
        <f t="shared" si="64"/>
        <v>3</v>
      </c>
      <c r="C211" s="26">
        <f t="shared" si="65"/>
        <v>14</v>
      </c>
      <c r="D211" s="26">
        <f t="shared" si="66"/>
        <v>1</v>
      </c>
      <c r="E211" s="26">
        <f t="shared" si="67"/>
        <v>18</v>
      </c>
      <c r="F211" s="26">
        <f t="shared" si="68"/>
        <v>50</v>
      </c>
      <c r="G211" s="29">
        <f t="shared" si="69"/>
        <v>44986</v>
      </c>
      <c r="H211" s="26">
        <f t="shared" si="70"/>
        <v>53</v>
      </c>
      <c r="I211" s="29">
        <f t="shared" si="71"/>
        <v>45047</v>
      </c>
      <c r="J211" s="33">
        <f t="shared" si="72"/>
        <v>209624.34030818939</v>
      </c>
      <c r="K211" s="33">
        <f t="shared" si="73"/>
        <v>119652.1701276302</v>
      </c>
      <c r="L211" s="19">
        <f t="shared" si="74"/>
        <v>1.7079955488100484</v>
      </c>
      <c r="M211" s="19">
        <f t="shared" si="75"/>
        <v>1.7079955488100484</v>
      </c>
      <c r="N211" s="33">
        <f t="shared" si="76"/>
        <v>204365.37398345504</v>
      </c>
      <c r="O211" s="33">
        <f t="shared" si="77"/>
        <v>303562.21751436341</v>
      </c>
      <c r="P211" s="35">
        <f t="shared" si="78"/>
        <v>0.42920669445295445</v>
      </c>
      <c r="Q211" s="35">
        <f t="shared" si="79"/>
        <v>2.5087574835072263E-2</v>
      </c>
      <c r="R211" s="35">
        <f t="shared" si="80"/>
        <v>0.44812485548227221</v>
      </c>
      <c r="S211" s="35">
        <f t="shared" si="81"/>
        <v>-0.42920669445295445</v>
      </c>
      <c r="T211" s="35">
        <f t="shared" si="82"/>
        <v>-2.508757483507229E-2</v>
      </c>
      <c r="U211" s="35">
        <f t="shared" si="83"/>
        <v>0.4481248554822721</v>
      </c>
    </row>
    <row r="212" spans="1:21" x14ac:dyDescent="0.25">
      <c r="A212" s="26">
        <f t="shared" si="63"/>
        <v>26</v>
      </c>
      <c r="B212" s="26">
        <f t="shared" si="64"/>
        <v>4</v>
      </c>
      <c r="C212" s="26">
        <f t="shared" si="65"/>
        <v>14</v>
      </c>
      <c r="D212" s="26">
        <f t="shared" si="66"/>
        <v>1</v>
      </c>
      <c r="E212" s="26">
        <f t="shared" si="67"/>
        <v>18</v>
      </c>
      <c r="F212" s="26">
        <f t="shared" si="68"/>
        <v>50</v>
      </c>
      <c r="G212" s="29">
        <f t="shared" si="69"/>
        <v>44986</v>
      </c>
      <c r="H212" s="26">
        <f t="shared" si="70"/>
        <v>54</v>
      </c>
      <c r="I212" s="29">
        <f t="shared" si="71"/>
        <v>45078</v>
      </c>
      <c r="J212" s="33">
        <f t="shared" si="72"/>
        <v>205503.24020504949</v>
      </c>
      <c r="K212" s="33">
        <f t="shared" si="73"/>
        <v>133353.570147872</v>
      </c>
      <c r="L212" s="19">
        <f t="shared" si="74"/>
        <v>1.7079955488100484</v>
      </c>
      <c r="M212" s="19">
        <f t="shared" si="75"/>
        <v>1.7079955488100484</v>
      </c>
      <c r="N212" s="33">
        <f t="shared" si="76"/>
        <v>227767.30423049393</v>
      </c>
      <c r="O212" s="33">
        <f t="shared" si="77"/>
        <v>330216.10187890381</v>
      </c>
      <c r="P212" s="35">
        <f t="shared" si="78"/>
        <v>0.3510877492013611</v>
      </c>
      <c r="Q212" s="35">
        <f t="shared" si="79"/>
        <v>0.10833923593238501</v>
      </c>
      <c r="R212" s="35">
        <f t="shared" si="80"/>
        <v>0.60686567058220997</v>
      </c>
      <c r="S212" s="35">
        <f t="shared" si="81"/>
        <v>-0.3510877492013611</v>
      </c>
      <c r="T212" s="35">
        <f t="shared" si="82"/>
        <v>0.10833923593238493</v>
      </c>
      <c r="U212" s="35">
        <f t="shared" si="83"/>
        <v>0.60686567058220997</v>
      </c>
    </row>
    <row r="213" spans="1:21" x14ac:dyDescent="0.25">
      <c r="A213" s="26">
        <f t="shared" si="63"/>
        <v>26</v>
      </c>
      <c r="B213" s="26">
        <f t="shared" si="64"/>
        <v>5</v>
      </c>
      <c r="C213" s="26">
        <f t="shared" si="65"/>
        <v>14</v>
      </c>
      <c r="D213" s="26">
        <f t="shared" si="66"/>
        <v>1</v>
      </c>
      <c r="E213" s="26">
        <f t="shared" si="67"/>
        <v>18</v>
      </c>
      <c r="F213" s="26">
        <f t="shared" si="68"/>
        <v>50</v>
      </c>
      <c r="G213" s="29">
        <f t="shared" si="69"/>
        <v>44986</v>
      </c>
      <c r="H213" s="26">
        <f t="shared" si="70"/>
        <v>55</v>
      </c>
      <c r="I213" s="29">
        <f t="shared" si="71"/>
        <v>45108</v>
      </c>
      <c r="J213" s="33">
        <f t="shared" si="72"/>
        <v>232777.6403400898</v>
      </c>
      <c r="K213" s="33">
        <f t="shared" si="73"/>
        <v>137325.9301383495</v>
      </c>
      <c r="L213" s="19">
        <f t="shared" si="74"/>
        <v>1.7079955488100484</v>
      </c>
      <c r="M213" s="19">
        <f t="shared" si="75"/>
        <v>1.7079955488100484</v>
      </c>
      <c r="N213" s="33">
        <f t="shared" si="76"/>
        <v>234552.07741250063</v>
      </c>
      <c r="O213" s="33">
        <f t="shared" si="77"/>
        <v>375056.93254375819</v>
      </c>
      <c r="P213" s="35">
        <f t="shared" si="78"/>
        <v>0.41005532173229636</v>
      </c>
      <c r="Q213" s="35">
        <f t="shared" si="79"/>
        <v>7.6228845254138885E-3</v>
      </c>
      <c r="R213" s="35">
        <f t="shared" si="80"/>
        <v>0.61122405053937878</v>
      </c>
      <c r="S213" s="35">
        <f t="shared" si="81"/>
        <v>-0.41005532173229642</v>
      </c>
      <c r="T213" s="35">
        <f t="shared" si="82"/>
        <v>7.62288452541382E-3</v>
      </c>
      <c r="U213" s="35">
        <f t="shared" si="83"/>
        <v>0.61122405053937889</v>
      </c>
    </row>
    <row r="214" spans="1:21" x14ac:dyDescent="0.25">
      <c r="A214" s="26">
        <f t="shared" si="63"/>
        <v>26</v>
      </c>
      <c r="B214" s="26">
        <f t="shared" si="64"/>
        <v>6</v>
      </c>
      <c r="C214" s="26">
        <f t="shared" si="65"/>
        <v>14</v>
      </c>
      <c r="D214" s="26">
        <f t="shared" si="66"/>
        <v>1</v>
      </c>
      <c r="E214" s="26">
        <f t="shared" si="67"/>
        <v>18</v>
      </c>
      <c r="F214" s="26">
        <f t="shared" si="68"/>
        <v>50</v>
      </c>
      <c r="G214" s="29">
        <f t="shared" si="69"/>
        <v>44986</v>
      </c>
      <c r="H214" s="26">
        <f t="shared" si="70"/>
        <v>56</v>
      </c>
      <c r="I214" s="29">
        <f t="shared" si="71"/>
        <v>45139</v>
      </c>
      <c r="J214" s="33">
        <f t="shared" si="72"/>
        <v>246129.77018761629</v>
      </c>
      <c r="K214" s="33">
        <f t="shared" si="73"/>
        <v>142612.7901010513</v>
      </c>
      <c r="L214" s="19">
        <f t="shared" si="74"/>
        <v>1.7079955488100484</v>
      </c>
      <c r="M214" s="19">
        <f t="shared" si="75"/>
        <v>1.7079955488100484</v>
      </c>
      <c r="N214" s="33">
        <f t="shared" si="76"/>
        <v>243582.01069597737</v>
      </c>
      <c r="O214" s="33">
        <f t="shared" si="77"/>
        <v>397459.54972966912</v>
      </c>
      <c r="P214" s="35">
        <f t="shared" si="78"/>
        <v>0.42057886783731013</v>
      </c>
      <c r="Q214" s="35">
        <f t="shared" si="79"/>
        <v>1.0351285379646887E-2</v>
      </c>
      <c r="R214" s="35">
        <f t="shared" si="80"/>
        <v>0.61483736577943948</v>
      </c>
      <c r="S214" s="35">
        <f t="shared" si="81"/>
        <v>-0.42057886783731013</v>
      </c>
      <c r="T214" s="35">
        <f t="shared" si="82"/>
        <v>-1.0351285379646913E-2</v>
      </c>
      <c r="U214" s="35">
        <f t="shared" si="83"/>
        <v>0.61483736577943948</v>
      </c>
    </row>
    <row r="215" spans="1:21" x14ac:dyDescent="0.25">
      <c r="A215" s="26">
        <f t="shared" si="63"/>
        <v>26</v>
      </c>
      <c r="B215" s="26">
        <f t="shared" si="64"/>
        <v>7</v>
      </c>
      <c r="C215" s="26">
        <f t="shared" si="65"/>
        <v>14</v>
      </c>
      <c r="D215" s="26">
        <f t="shared" si="66"/>
        <v>1</v>
      </c>
      <c r="E215" s="26">
        <f t="shared" si="67"/>
        <v>18</v>
      </c>
      <c r="F215" s="26">
        <f t="shared" si="68"/>
        <v>50</v>
      </c>
      <c r="G215" s="29">
        <f t="shared" si="69"/>
        <v>44986</v>
      </c>
      <c r="H215" s="26">
        <f t="shared" si="70"/>
        <v>57</v>
      </c>
      <c r="I215" s="29">
        <f t="shared" si="71"/>
        <v>45170</v>
      </c>
      <c r="J215" s="33">
        <f t="shared" si="72"/>
        <v>261138.52030706409</v>
      </c>
      <c r="K215" s="33">
        <f t="shared" si="73"/>
        <v>137519.58025622371</v>
      </c>
      <c r="L215" s="19">
        <f t="shared" si="74"/>
        <v>1.7079955488100484</v>
      </c>
      <c r="M215" s="19">
        <f t="shared" si="75"/>
        <v>1.7079955488100484</v>
      </c>
      <c r="N215" s="33">
        <f t="shared" si="76"/>
        <v>234882.8309518563</v>
      </c>
      <c r="O215" s="33">
        <f t="shared" si="77"/>
        <v>397835.28234022402</v>
      </c>
      <c r="P215" s="35">
        <f t="shared" si="78"/>
        <v>0.47338454665930169</v>
      </c>
      <c r="Q215" s="35">
        <f t="shared" si="79"/>
        <v>0.10054314975950156</v>
      </c>
      <c r="R215" s="35">
        <f t="shared" si="80"/>
        <v>0.52346456536715746</v>
      </c>
      <c r="S215" s="35">
        <f t="shared" si="81"/>
        <v>-0.47338454665930163</v>
      </c>
      <c r="T215" s="35">
        <f t="shared" si="82"/>
        <v>-0.10054314975950152</v>
      </c>
      <c r="U215" s="35">
        <f t="shared" si="83"/>
        <v>0.52346456536715746</v>
      </c>
    </row>
    <row r="216" spans="1:21" x14ac:dyDescent="0.25">
      <c r="A216" s="37">
        <f t="shared" si="63"/>
        <v>26</v>
      </c>
      <c r="B216" s="37">
        <f t="shared" si="64"/>
        <v>8</v>
      </c>
      <c r="C216" s="37">
        <f t="shared" si="65"/>
        <v>14</v>
      </c>
      <c r="D216" s="37">
        <f t="shared" si="66"/>
        <v>1</v>
      </c>
      <c r="E216" s="37">
        <f t="shared" si="67"/>
        <v>18</v>
      </c>
      <c r="F216" s="37">
        <f t="shared" si="68"/>
        <v>50</v>
      </c>
      <c r="G216" s="38">
        <f t="shared" si="69"/>
        <v>44986</v>
      </c>
      <c r="H216" s="37">
        <f t="shared" si="70"/>
        <v>58</v>
      </c>
      <c r="I216" s="38">
        <f t="shared" si="71"/>
        <v>45200</v>
      </c>
      <c r="J216" s="39">
        <f t="shared" si="72"/>
        <v>279981.62028169632</v>
      </c>
      <c r="K216" s="39">
        <f t="shared" si="73"/>
        <v>152485.03018927571</v>
      </c>
      <c r="L216" s="40">
        <f t="shared" si="74"/>
        <v>1.7079955488100484</v>
      </c>
      <c r="M216" s="40">
        <f t="shared" si="75"/>
        <v>1.7079955488100484</v>
      </c>
      <c r="N216" s="39">
        <f t="shared" si="76"/>
        <v>260443.75282344877</v>
      </c>
      <c r="O216" s="39">
        <f t="shared" si="77"/>
        <v>452970.47640121641</v>
      </c>
      <c r="P216" s="41">
        <f t="shared" si="78"/>
        <v>0.45537485626429042</v>
      </c>
      <c r="Q216" s="41">
        <f t="shared" si="79"/>
        <v>6.9782678729375255E-2</v>
      </c>
      <c r="R216" s="41">
        <f t="shared" si="80"/>
        <v>0.61785790062030421</v>
      </c>
      <c r="S216" s="41">
        <f t="shared" si="81"/>
        <v>-0.45537485626429042</v>
      </c>
      <c r="T216" s="41">
        <f t="shared" si="82"/>
        <v>-6.9782678729375269E-2</v>
      </c>
      <c r="U216" s="41">
        <f t="shared" si="83"/>
        <v>0.61785790062030421</v>
      </c>
    </row>
    <row r="217" spans="1:21" x14ac:dyDescent="0.25">
      <c r="A217" s="26">
        <f t="shared" si="63"/>
        <v>27</v>
      </c>
      <c r="B217" s="26">
        <f t="shared" si="64"/>
        <v>1</v>
      </c>
      <c r="C217" s="26">
        <f t="shared" si="65"/>
        <v>13</v>
      </c>
      <c r="D217" s="26">
        <f t="shared" si="66"/>
        <v>1</v>
      </c>
      <c r="E217" s="26">
        <f t="shared" si="67"/>
        <v>19</v>
      </c>
      <c r="F217" s="26">
        <f t="shared" si="68"/>
        <v>51</v>
      </c>
      <c r="G217" s="29">
        <f t="shared" si="69"/>
        <v>45017</v>
      </c>
      <c r="H217" s="26">
        <f t="shared" si="70"/>
        <v>52</v>
      </c>
      <c r="I217" s="29">
        <f t="shared" si="71"/>
        <v>45017</v>
      </c>
      <c r="J217" s="33">
        <f t="shared" si="72"/>
        <v>193149.96007275581</v>
      </c>
      <c r="K217" s="33">
        <f t="shared" si="73"/>
        <v>113637.6201777458</v>
      </c>
      <c r="L217" s="19">
        <f t="shared" si="74"/>
        <v>1.5490088120030236</v>
      </c>
      <c r="M217" s="19">
        <f t="shared" si="75"/>
        <v>1.5490088120030236</v>
      </c>
      <c r="N217" s="33">
        <f t="shared" si="76"/>
        <v>176025.67503038087</v>
      </c>
      <c r="O217" s="33">
        <f t="shared" si="77"/>
        <v>158320.5383746138</v>
      </c>
      <c r="P217" s="35">
        <f t="shared" si="78"/>
        <v>0.41166117696871002</v>
      </c>
      <c r="Q217" s="35">
        <f t="shared" si="79"/>
        <v>8.865797868104433E-2</v>
      </c>
      <c r="R217" s="35">
        <f t="shared" si="80"/>
        <v>0.18032321458944364</v>
      </c>
      <c r="S217" s="35">
        <f t="shared" si="81"/>
        <v>-0.41166117696871007</v>
      </c>
      <c r="T217" s="35">
        <f t="shared" si="82"/>
        <v>-8.8657978681044303E-2</v>
      </c>
      <c r="U217" s="35">
        <f t="shared" si="83"/>
        <v>-0.18032321458944367</v>
      </c>
    </row>
    <row r="218" spans="1:21" x14ac:dyDescent="0.25">
      <c r="A218" s="26">
        <f t="shared" si="63"/>
        <v>27</v>
      </c>
      <c r="B218" s="26">
        <f t="shared" si="64"/>
        <v>2</v>
      </c>
      <c r="C218" s="26">
        <f t="shared" si="65"/>
        <v>13</v>
      </c>
      <c r="D218" s="26">
        <f t="shared" si="66"/>
        <v>1</v>
      </c>
      <c r="E218" s="26">
        <f t="shared" si="67"/>
        <v>19</v>
      </c>
      <c r="F218" s="26">
        <f t="shared" si="68"/>
        <v>51</v>
      </c>
      <c r="G218" s="29">
        <f t="shared" si="69"/>
        <v>45017</v>
      </c>
      <c r="H218" s="26">
        <f t="shared" si="70"/>
        <v>53</v>
      </c>
      <c r="I218" s="29">
        <f t="shared" si="71"/>
        <v>45047</v>
      </c>
      <c r="J218" s="33">
        <f t="shared" si="72"/>
        <v>209624.34030818939</v>
      </c>
      <c r="K218" s="33">
        <f t="shared" si="73"/>
        <v>119652.1701276302</v>
      </c>
      <c r="L218" s="19">
        <f t="shared" si="74"/>
        <v>1.5490088120030236</v>
      </c>
      <c r="M218" s="19">
        <f t="shared" si="75"/>
        <v>1.5490088120030236</v>
      </c>
      <c r="N218" s="33">
        <f t="shared" si="76"/>
        <v>185342.26590298413</v>
      </c>
      <c r="O218" s="33">
        <f t="shared" si="77"/>
        <v>136563.76129368629</v>
      </c>
      <c r="P218" s="35">
        <f t="shared" si="78"/>
        <v>0.42920669445295445</v>
      </c>
      <c r="Q218" s="35">
        <f t="shared" si="79"/>
        <v>0.11583613987529212</v>
      </c>
      <c r="R218" s="35">
        <f t="shared" si="80"/>
        <v>0.34853099075751198</v>
      </c>
      <c r="S218" s="35">
        <f t="shared" si="81"/>
        <v>-0.42920669445295445</v>
      </c>
      <c r="T218" s="35">
        <f t="shared" si="82"/>
        <v>-0.11583613987529207</v>
      </c>
      <c r="U218" s="35">
        <f t="shared" si="83"/>
        <v>-0.34853099075751204</v>
      </c>
    </row>
    <row r="219" spans="1:21" x14ac:dyDescent="0.25">
      <c r="A219" s="26">
        <f t="shared" si="63"/>
        <v>27</v>
      </c>
      <c r="B219" s="26">
        <f t="shared" si="64"/>
        <v>3</v>
      </c>
      <c r="C219" s="26">
        <f t="shared" si="65"/>
        <v>13</v>
      </c>
      <c r="D219" s="26">
        <f t="shared" si="66"/>
        <v>1</v>
      </c>
      <c r="E219" s="26">
        <f t="shared" si="67"/>
        <v>19</v>
      </c>
      <c r="F219" s="26">
        <f t="shared" si="68"/>
        <v>51</v>
      </c>
      <c r="G219" s="29">
        <f t="shared" si="69"/>
        <v>45017</v>
      </c>
      <c r="H219" s="26">
        <f t="shared" si="70"/>
        <v>54</v>
      </c>
      <c r="I219" s="29">
        <f t="shared" si="71"/>
        <v>45078</v>
      </c>
      <c r="J219" s="33">
        <f t="shared" si="72"/>
        <v>205503.24020504949</v>
      </c>
      <c r="K219" s="33">
        <f t="shared" si="73"/>
        <v>133353.570147872</v>
      </c>
      <c r="L219" s="19">
        <f t="shared" si="74"/>
        <v>1.5490088120030236</v>
      </c>
      <c r="M219" s="19">
        <f t="shared" si="75"/>
        <v>1.5490088120030236</v>
      </c>
      <c r="N219" s="33">
        <f t="shared" si="76"/>
        <v>206565.85527111709</v>
      </c>
      <c r="O219" s="33">
        <f t="shared" si="77"/>
        <v>120619.3135291416</v>
      </c>
      <c r="P219" s="35">
        <f t="shared" si="78"/>
        <v>0.3510877492013611</v>
      </c>
      <c r="Q219" s="35">
        <f t="shared" si="79"/>
        <v>5.1707947038077736E-3</v>
      </c>
      <c r="R219" s="35">
        <f t="shared" si="80"/>
        <v>0.41305395764665992</v>
      </c>
      <c r="S219" s="35">
        <f t="shared" si="81"/>
        <v>-0.3510877492013611</v>
      </c>
      <c r="T219" s="35">
        <f t="shared" si="82"/>
        <v>5.1707947038077684E-3</v>
      </c>
      <c r="U219" s="35">
        <f t="shared" si="83"/>
        <v>-0.41305395764665986</v>
      </c>
    </row>
    <row r="220" spans="1:21" x14ac:dyDescent="0.25">
      <c r="A220" s="26">
        <f t="shared" si="63"/>
        <v>27</v>
      </c>
      <c r="B220" s="26">
        <f t="shared" si="64"/>
        <v>4</v>
      </c>
      <c r="C220" s="26">
        <f t="shared" si="65"/>
        <v>13</v>
      </c>
      <c r="D220" s="26">
        <f t="shared" si="66"/>
        <v>1</v>
      </c>
      <c r="E220" s="26">
        <f t="shared" si="67"/>
        <v>19</v>
      </c>
      <c r="F220" s="26">
        <f t="shared" si="68"/>
        <v>51</v>
      </c>
      <c r="G220" s="29">
        <f t="shared" si="69"/>
        <v>45017</v>
      </c>
      <c r="H220" s="26">
        <f t="shared" si="70"/>
        <v>55</v>
      </c>
      <c r="I220" s="29">
        <f t="shared" si="71"/>
        <v>45108</v>
      </c>
      <c r="J220" s="33">
        <f t="shared" si="72"/>
        <v>232777.6403400898</v>
      </c>
      <c r="K220" s="33">
        <f t="shared" si="73"/>
        <v>137325.9301383495</v>
      </c>
      <c r="L220" s="19">
        <f t="shared" si="74"/>
        <v>1.5490088120030236</v>
      </c>
      <c r="M220" s="19">
        <f t="shared" si="75"/>
        <v>1.5490088120030236</v>
      </c>
      <c r="N220" s="33">
        <f t="shared" si="76"/>
        <v>212719.07590081499</v>
      </c>
      <c r="O220" s="33">
        <f t="shared" si="77"/>
        <v>112999.45094459791</v>
      </c>
      <c r="P220" s="35">
        <f t="shared" si="78"/>
        <v>0.41005532173229636</v>
      </c>
      <c r="Q220" s="35">
        <f t="shared" si="79"/>
        <v>8.6170494769038389E-2</v>
      </c>
      <c r="R220" s="35">
        <f t="shared" si="80"/>
        <v>0.51456054464894097</v>
      </c>
      <c r="S220" s="35">
        <f t="shared" si="81"/>
        <v>-0.41005532173229642</v>
      </c>
      <c r="T220" s="35">
        <f t="shared" si="82"/>
        <v>-8.6170494769038375E-2</v>
      </c>
      <c r="U220" s="35">
        <f t="shared" si="83"/>
        <v>-0.51456054464894097</v>
      </c>
    </row>
    <row r="221" spans="1:21" x14ac:dyDescent="0.25">
      <c r="A221" s="26">
        <f t="shared" si="63"/>
        <v>27</v>
      </c>
      <c r="B221" s="26">
        <f t="shared" si="64"/>
        <v>5</v>
      </c>
      <c r="C221" s="26">
        <f t="shared" si="65"/>
        <v>13</v>
      </c>
      <c r="D221" s="26">
        <f t="shared" si="66"/>
        <v>1</v>
      </c>
      <c r="E221" s="26">
        <f t="shared" si="67"/>
        <v>19</v>
      </c>
      <c r="F221" s="26">
        <f t="shared" si="68"/>
        <v>51</v>
      </c>
      <c r="G221" s="29">
        <f t="shared" si="69"/>
        <v>45017</v>
      </c>
      <c r="H221" s="26">
        <f t="shared" si="70"/>
        <v>56</v>
      </c>
      <c r="I221" s="29">
        <f t="shared" si="71"/>
        <v>45139</v>
      </c>
      <c r="J221" s="33">
        <f t="shared" si="72"/>
        <v>246129.77018761629</v>
      </c>
      <c r="K221" s="33">
        <f t="shared" si="73"/>
        <v>142612.7901010513</v>
      </c>
      <c r="L221" s="19">
        <f t="shared" si="74"/>
        <v>1.5490088120030236</v>
      </c>
      <c r="M221" s="19">
        <f t="shared" si="75"/>
        <v>1.5490088120030236</v>
      </c>
      <c r="N221" s="33">
        <f t="shared" si="76"/>
        <v>220908.46857086604</v>
      </c>
      <c r="O221" s="33">
        <f t="shared" si="77"/>
        <v>100337.8156713909</v>
      </c>
      <c r="P221" s="35">
        <f t="shared" si="78"/>
        <v>0.42057886783731013</v>
      </c>
      <c r="Q221" s="35">
        <f t="shared" si="79"/>
        <v>0.10247156041922485</v>
      </c>
      <c r="R221" s="35">
        <f t="shared" si="80"/>
        <v>0.59233775095590091</v>
      </c>
      <c r="S221" s="35">
        <f t="shared" si="81"/>
        <v>-0.42057886783731013</v>
      </c>
      <c r="T221" s="35">
        <f t="shared" si="82"/>
        <v>-0.10247156041922489</v>
      </c>
      <c r="U221" s="35">
        <f t="shared" si="83"/>
        <v>-0.59233775095590091</v>
      </c>
    </row>
    <row r="222" spans="1:21" x14ac:dyDescent="0.25">
      <c r="A222" s="26">
        <f t="shared" si="63"/>
        <v>27</v>
      </c>
      <c r="B222" s="26">
        <f t="shared" si="64"/>
        <v>6</v>
      </c>
      <c r="C222" s="26">
        <f t="shared" si="65"/>
        <v>13</v>
      </c>
      <c r="D222" s="26">
        <f t="shared" si="66"/>
        <v>1</v>
      </c>
      <c r="E222" s="26">
        <f t="shared" si="67"/>
        <v>19</v>
      </c>
      <c r="F222" s="26">
        <f t="shared" si="68"/>
        <v>51</v>
      </c>
      <c r="G222" s="29">
        <f t="shared" si="69"/>
        <v>45017</v>
      </c>
      <c r="H222" s="26">
        <f t="shared" si="70"/>
        <v>57</v>
      </c>
      <c r="I222" s="29">
        <f t="shared" si="71"/>
        <v>45170</v>
      </c>
      <c r="J222" s="33">
        <f t="shared" si="72"/>
        <v>261138.52030706409</v>
      </c>
      <c r="K222" s="33">
        <f t="shared" si="73"/>
        <v>137519.58025622371</v>
      </c>
      <c r="L222" s="19">
        <f t="shared" si="74"/>
        <v>1.5490088120030236</v>
      </c>
      <c r="M222" s="19">
        <f t="shared" si="75"/>
        <v>1.5490088120030236</v>
      </c>
      <c r="N222" s="33">
        <f t="shared" si="76"/>
        <v>213019.04163984756</v>
      </c>
      <c r="O222" s="33">
        <f t="shared" si="77"/>
        <v>85487.418637659051</v>
      </c>
      <c r="P222" s="35">
        <f t="shared" si="78"/>
        <v>0.47338454665930169</v>
      </c>
      <c r="Q222" s="35">
        <f t="shared" si="79"/>
        <v>0.18426802223829111</v>
      </c>
      <c r="R222" s="35">
        <f t="shared" si="80"/>
        <v>0.67263573931131548</v>
      </c>
      <c r="S222" s="35">
        <f t="shared" si="81"/>
        <v>-0.47338454665930163</v>
      </c>
      <c r="T222" s="35">
        <f t="shared" si="82"/>
        <v>-0.18426802223829108</v>
      </c>
      <c r="U222" s="35">
        <f t="shared" si="83"/>
        <v>-0.67263573931131559</v>
      </c>
    </row>
    <row r="223" spans="1:21" x14ac:dyDescent="0.25">
      <c r="A223" s="26">
        <f t="shared" si="63"/>
        <v>27</v>
      </c>
      <c r="B223" s="26">
        <f t="shared" si="64"/>
        <v>7</v>
      </c>
      <c r="C223" s="26">
        <f t="shared" si="65"/>
        <v>13</v>
      </c>
      <c r="D223" s="26">
        <f t="shared" si="66"/>
        <v>1</v>
      </c>
      <c r="E223" s="26">
        <f t="shared" si="67"/>
        <v>19</v>
      </c>
      <c r="F223" s="26">
        <f t="shared" si="68"/>
        <v>51</v>
      </c>
      <c r="G223" s="29">
        <f t="shared" si="69"/>
        <v>45017</v>
      </c>
      <c r="H223" s="26">
        <f t="shared" si="70"/>
        <v>58</v>
      </c>
      <c r="I223" s="29">
        <f t="shared" si="71"/>
        <v>45200</v>
      </c>
      <c r="J223" s="33">
        <f t="shared" si="72"/>
        <v>279981.62028169632</v>
      </c>
      <c r="K223" s="33">
        <f t="shared" si="73"/>
        <v>152485.03018927571</v>
      </c>
      <c r="L223" s="19">
        <f t="shared" si="74"/>
        <v>1.5490088120030236</v>
      </c>
      <c r="M223" s="19">
        <f t="shared" si="75"/>
        <v>1.5490088120030236</v>
      </c>
      <c r="N223" s="33">
        <f t="shared" si="76"/>
        <v>236200.65546173518</v>
      </c>
      <c r="O223" s="33">
        <f t="shared" si="77"/>
        <v>84164.814065315761</v>
      </c>
      <c r="P223" s="35">
        <f t="shared" si="78"/>
        <v>0.45537485626429042</v>
      </c>
      <c r="Q223" s="35">
        <f t="shared" si="79"/>
        <v>0.15637085311497251</v>
      </c>
      <c r="R223" s="35">
        <f t="shared" si="80"/>
        <v>0.6993916458493401</v>
      </c>
      <c r="S223" s="35">
        <f t="shared" si="81"/>
        <v>-0.45537485626429042</v>
      </c>
      <c r="T223" s="35">
        <f t="shared" si="82"/>
        <v>-0.15637085311497245</v>
      </c>
      <c r="U223" s="35">
        <f t="shared" si="83"/>
        <v>-0.6993916458493401</v>
      </c>
    </row>
    <row r="224" spans="1:21" x14ac:dyDescent="0.25">
      <c r="A224" s="37">
        <f t="shared" si="63"/>
        <v>27</v>
      </c>
      <c r="B224" s="37">
        <f t="shared" si="64"/>
        <v>8</v>
      </c>
      <c r="C224" s="37">
        <f t="shared" si="65"/>
        <v>13</v>
      </c>
      <c r="D224" s="37">
        <f t="shared" si="66"/>
        <v>1</v>
      </c>
      <c r="E224" s="37">
        <f t="shared" si="67"/>
        <v>19</v>
      </c>
      <c r="F224" s="37">
        <f t="shared" si="68"/>
        <v>51</v>
      </c>
      <c r="G224" s="38">
        <f t="shared" si="69"/>
        <v>45017</v>
      </c>
      <c r="H224" s="37">
        <f t="shared" si="70"/>
        <v>59</v>
      </c>
      <c r="I224" s="38">
        <f t="shared" si="71"/>
        <v>45231</v>
      </c>
      <c r="J224" s="39">
        <f t="shared" si="72"/>
        <v>298467.6802778244</v>
      </c>
      <c r="K224" s="39">
        <f t="shared" si="73"/>
        <v>155504.0401403904</v>
      </c>
      <c r="L224" s="40">
        <f t="shared" si="74"/>
        <v>1.5490088120030236</v>
      </c>
      <c r="M224" s="40">
        <f t="shared" si="75"/>
        <v>1.5490088120030236</v>
      </c>
      <c r="N224" s="39">
        <f t="shared" si="76"/>
        <v>240877.12847953662</v>
      </c>
      <c r="O224" s="39">
        <f t="shared" si="77"/>
        <v>78973.929973867489</v>
      </c>
      <c r="P224" s="41">
        <f t="shared" si="78"/>
        <v>0.47899203024045461</v>
      </c>
      <c r="Q224" s="41">
        <f t="shared" si="79"/>
        <v>0.19295406371865936</v>
      </c>
      <c r="R224" s="41">
        <f t="shared" si="80"/>
        <v>0.73540207133865976</v>
      </c>
      <c r="S224" s="41">
        <f t="shared" si="81"/>
        <v>-0.47899203024045467</v>
      </c>
      <c r="T224" s="41">
        <f t="shared" si="82"/>
        <v>-0.19295406371865931</v>
      </c>
      <c r="U224" s="41">
        <f t="shared" si="83"/>
        <v>-0.73540207133865976</v>
      </c>
    </row>
    <row r="225" spans="1:21" x14ac:dyDescent="0.25">
      <c r="A225" s="26">
        <f t="shared" si="63"/>
        <v>28</v>
      </c>
      <c r="B225" s="26">
        <f t="shared" si="64"/>
        <v>1</v>
      </c>
      <c r="C225" s="26">
        <f t="shared" si="65"/>
        <v>12</v>
      </c>
      <c r="D225" s="26">
        <f t="shared" si="66"/>
        <v>1</v>
      </c>
      <c r="E225" s="26">
        <f t="shared" si="67"/>
        <v>20</v>
      </c>
      <c r="F225" s="26">
        <f t="shared" si="68"/>
        <v>52</v>
      </c>
      <c r="G225" s="29">
        <f t="shared" si="69"/>
        <v>45047</v>
      </c>
      <c r="H225" s="26">
        <f t="shared" si="70"/>
        <v>53</v>
      </c>
      <c r="I225" s="29">
        <f t="shared" si="71"/>
        <v>45047</v>
      </c>
      <c r="J225" s="33">
        <f t="shared" si="72"/>
        <v>209624.34030818939</v>
      </c>
      <c r="K225" s="33">
        <f t="shared" si="73"/>
        <v>119652.1701276302</v>
      </c>
      <c r="L225" s="19">
        <f t="shared" si="74"/>
        <v>1.6997008540889991</v>
      </c>
      <c r="M225" s="19">
        <f t="shared" si="75"/>
        <v>1.6997008540889991</v>
      </c>
      <c r="N225" s="33">
        <f t="shared" si="76"/>
        <v>203372.89575953528</v>
      </c>
      <c r="O225" s="33">
        <f t="shared" si="77"/>
        <v>185696.38655415361</v>
      </c>
      <c r="P225" s="35">
        <f t="shared" si="78"/>
        <v>0.42920669445295445</v>
      </c>
      <c r="Q225" s="35">
        <f t="shared" si="79"/>
        <v>2.9822131053403644E-2</v>
      </c>
      <c r="R225" s="35">
        <f t="shared" si="80"/>
        <v>0.1141468291270801</v>
      </c>
      <c r="S225" s="35">
        <f t="shared" si="81"/>
        <v>-0.42920669445295445</v>
      </c>
      <c r="T225" s="35">
        <f t="shared" si="82"/>
        <v>-2.9822131053403589E-2</v>
      </c>
      <c r="U225" s="35">
        <f t="shared" si="83"/>
        <v>-0.11414682912708007</v>
      </c>
    </row>
    <row r="226" spans="1:21" x14ac:dyDescent="0.25">
      <c r="A226" s="26">
        <f t="shared" si="63"/>
        <v>28</v>
      </c>
      <c r="B226" s="26">
        <f t="shared" si="64"/>
        <v>2</v>
      </c>
      <c r="C226" s="26">
        <f t="shared" si="65"/>
        <v>12</v>
      </c>
      <c r="D226" s="26">
        <f t="shared" si="66"/>
        <v>1</v>
      </c>
      <c r="E226" s="26">
        <f t="shared" si="67"/>
        <v>20</v>
      </c>
      <c r="F226" s="26">
        <f t="shared" si="68"/>
        <v>52</v>
      </c>
      <c r="G226" s="29">
        <f t="shared" si="69"/>
        <v>45047</v>
      </c>
      <c r="H226" s="26">
        <f t="shared" si="70"/>
        <v>54</v>
      </c>
      <c r="I226" s="29">
        <f t="shared" si="71"/>
        <v>45078</v>
      </c>
      <c r="J226" s="33">
        <f t="shared" si="72"/>
        <v>205503.24020504949</v>
      </c>
      <c r="K226" s="33">
        <f t="shared" si="73"/>
        <v>133353.570147872</v>
      </c>
      <c r="L226" s="19">
        <f t="shared" si="74"/>
        <v>1.6997008540889991</v>
      </c>
      <c r="M226" s="19">
        <f t="shared" si="75"/>
        <v>1.6997008540889991</v>
      </c>
      <c r="N226" s="33">
        <f t="shared" si="76"/>
        <v>226661.17707615529</v>
      </c>
      <c r="O226" s="33">
        <f t="shared" si="77"/>
        <v>182389.9487660033</v>
      </c>
      <c r="P226" s="35">
        <f t="shared" si="78"/>
        <v>0.3510877492013611</v>
      </c>
      <c r="Q226" s="35">
        <f t="shared" si="79"/>
        <v>0.10295670691126128</v>
      </c>
      <c r="R226" s="35">
        <f t="shared" si="80"/>
        <v>0.11247166427149238</v>
      </c>
      <c r="S226" s="35">
        <f t="shared" si="81"/>
        <v>-0.3510877492013611</v>
      </c>
      <c r="T226" s="35">
        <f t="shared" si="82"/>
        <v>0.10295670691126135</v>
      </c>
      <c r="U226" s="35">
        <f t="shared" si="83"/>
        <v>-0.11247166427149236</v>
      </c>
    </row>
    <row r="227" spans="1:21" x14ac:dyDescent="0.25">
      <c r="A227" s="26">
        <f t="shared" si="63"/>
        <v>28</v>
      </c>
      <c r="B227" s="26">
        <f t="shared" si="64"/>
        <v>3</v>
      </c>
      <c r="C227" s="26">
        <f t="shared" si="65"/>
        <v>12</v>
      </c>
      <c r="D227" s="26">
        <f t="shared" si="66"/>
        <v>1</v>
      </c>
      <c r="E227" s="26">
        <f t="shared" si="67"/>
        <v>20</v>
      </c>
      <c r="F227" s="26">
        <f t="shared" si="68"/>
        <v>52</v>
      </c>
      <c r="G227" s="29">
        <f t="shared" si="69"/>
        <v>45047</v>
      </c>
      <c r="H227" s="26">
        <f t="shared" si="70"/>
        <v>55</v>
      </c>
      <c r="I227" s="29">
        <f t="shared" si="71"/>
        <v>45108</v>
      </c>
      <c r="J227" s="33">
        <f t="shared" si="72"/>
        <v>232777.6403400898</v>
      </c>
      <c r="K227" s="33">
        <f t="shared" si="73"/>
        <v>137325.9301383495</v>
      </c>
      <c r="L227" s="19">
        <f t="shared" si="74"/>
        <v>1.6997008540889991</v>
      </c>
      <c r="M227" s="19">
        <f t="shared" si="75"/>
        <v>1.6997008540889991</v>
      </c>
      <c r="N227" s="33">
        <f t="shared" si="76"/>
        <v>233413.00074471888</v>
      </c>
      <c r="O227" s="33">
        <f t="shared" si="77"/>
        <v>189574.48760778399</v>
      </c>
      <c r="P227" s="35">
        <f t="shared" si="78"/>
        <v>0.41005532173229636</v>
      </c>
      <c r="Q227" s="35">
        <f t="shared" si="79"/>
        <v>2.7294735168756743E-3</v>
      </c>
      <c r="R227" s="35">
        <f t="shared" si="80"/>
        <v>0.18559837907621066</v>
      </c>
      <c r="S227" s="35">
        <f t="shared" si="81"/>
        <v>-0.41005532173229642</v>
      </c>
      <c r="T227" s="35">
        <f t="shared" si="82"/>
        <v>2.7294735168756912E-3</v>
      </c>
      <c r="U227" s="35">
        <f t="shared" si="83"/>
        <v>-0.18559837907621068</v>
      </c>
    </row>
    <row r="228" spans="1:21" x14ac:dyDescent="0.25">
      <c r="A228" s="26">
        <f t="shared" si="63"/>
        <v>28</v>
      </c>
      <c r="B228" s="26">
        <f t="shared" si="64"/>
        <v>4</v>
      </c>
      <c r="C228" s="26">
        <f t="shared" si="65"/>
        <v>12</v>
      </c>
      <c r="D228" s="26">
        <f t="shared" si="66"/>
        <v>1</v>
      </c>
      <c r="E228" s="26">
        <f t="shared" si="67"/>
        <v>20</v>
      </c>
      <c r="F228" s="26">
        <f t="shared" si="68"/>
        <v>52</v>
      </c>
      <c r="G228" s="29">
        <f t="shared" si="69"/>
        <v>45047</v>
      </c>
      <c r="H228" s="26">
        <f t="shared" si="70"/>
        <v>56</v>
      </c>
      <c r="I228" s="29">
        <f t="shared" si="71"/>
        <v>45139</v>
      </c>
      <c r="J228" s="33">
        <f t="shared" si="72"/>
        <v>246129.77018761629</v>
      </c>
      <c r="K228" s="33">
        <f t="shared" si="73"/>
        <v>142612.7901010513</v>
      </c>
      <c r="L228" s="19">
        <f t="shared" si="74"/>
        <v>1.6997008540889991</v>
      </c>
      <c r="M228" s="19">
        <f t="shared" si="75"/>
        <v>1.6997008540889991</v>
      </c>
      <c r="N228" s="33">
        <f t="shared" si="76"/>
        <v>242399.08113877205</v>
      </c>
      <c r="O228" s="33">
        <f t="shared" si="77"/>
        <v>186331.88075976359</v>
      </c>
      <c r="P228" s="35">
        <f t="shared" si="78"/>
        <v>0.42057886783731013</v>
      </c>
      <c r="Q228" s="35">
        <f t="shared" si="79"/>
        <v>1.5157406785861246E-2</v>
      </c>
      <c r="R228" s="35">
        <f t="shared" si="80"/>
        <v>0.2429526886661082</v>
      </c>
      <c r="S228" s="35">
        <f t="shared" si="81"/>
        <v>-0.42057886783731013</v>
      </c>
      <c r="T228" s="35">
        <f t="shared" si="82"/>
        <v>-1.5157406785861194E-2</v>
      </c>
      <c r="U228" s="35">
        <f t="shared" si="83"/>
        <v>-0.2429526886661082</v>
      </c>
    </row>
    <row r="229" spans="1:21" x14ac:dyDescent="0.25">
      <c r="A229" s="26">
        <f t="shared" si="63"/>
        <v>28</v>
      </c>
      <c r="B229" s="26">
        <f t="shared" si="64"/>
        <v>5</v>
      </c>
      <c r="C229" s="26">
        <f t="shared" si="65"/>
        <v>12</v>
      </c>
      <c r="D229" s="26">
        <f t="shared" si="66"/>
        <v>1</v>
      </c>
      <c r="E229" s="26">
        <f t="shared" si="67"/>
        <v>20</v>
      </c>
      <c r="F229" s="26">
        <f t="shared" si="68"/>
        <v>52</v>
      </c>
      <c r="G229" s="29">
        <f t="shared" si="69"/>
        <v>45047</v>
      </c>
      <c r="H229" s="26">
        <f t="shared" si="70"/>
        <v>57</v>
      </c>
      <c r="I229" s="29">
        <f t="shared" si="71"/>
        <v>45170</v>
      </c>
      <c r="J229" s="33">
        <f t="shared" si="72"/>
        <v>261138.52030706409</v>
      </c>
      <c r="K229" s="33">
        <f t="shared" si="73"/>
        <v>137519.58025622371</v>
      </c>
      <c r="L229" s="19">
        <f t="shared" si="74"/>
        <v>1.6997008540889991</v>
      </c>
      <c r="M229" s="19">
        <f t="shared" si="75"/>
        <v>1.6997008540889991</v>
      </c>
      <c r="N229" s="33">
        <f t="shared" si="76"/>
        <v>233742.1480154641</v>
      </c>
      <c r="O229" s="33">
        <f t="shared" si="77"/>
        <v>175326.83692544789</v>
      </c>
      <c r="P229" s="35">
        <f t="shared" si="78"/>
        <v>0.47338454665930169</v>
      </c>
      <c r="Q229" s="35">
        <f t="shared" si="79"/>
        <v>0.10491126418034957</v>
      </c>
      <c r="R229" s="35">
        <f t="shared" si="80"/>
        <v>0.32860599531893303</v>
      </c>
      <c r="S229" s="35">
        <f t="shared" si="81"/>
        <v>-0.47338454665930163</v>
      </c>
      <c r="T229" s="35">
        <f t="shared" si="82"/>
        <v>-0.10491126418034957</v>
      </c>
      <c r="U229" s="35">
        <f t="shared" si="83"/>
        <v>-0.32860599531893298</v>
      </c>
    </row>
    <row r="230" spans="1:21" x14ac:dyDescent="0.25">
      <c r="A230" s="26">
        <f t="shared" si="63"/>
        <v>28</v>
      </c>
      <c r="B230" s="26">
        <f t="shared" si="64"/>
        <v>6</v>
      </c>
      <c r="C230" s="26">
        <f t="shared" si="65"/>
        <v>12</v>
      </c>
      <c r="D230" s="26">
        <f t="shared" si="66"/>
        <v>1</v>
      </c>
      <c r="E230" s="26">
        <f t="shared" si="67"/>
        <v>20</v>
      </c>
      <c r="F230" s="26">
        <f t="shared" si="68"/>
        <v>52</v>
      </c>
      <c r="G230" s="29">
        <f t="shared" si="69"/>
        <v>45047</v>
      </c>
      <c r="H230" s="26">
        <f t="shared" si="70"/>
        <v>58</v>
      </c>
      <c r="I230" s="29">
        <f t="shared" si="71"/>
        <v>45200</v>
      </c>
      <c r="J230" s="33">
        <f t="shared" si="72"/>
        <v>279981.62028169632</v>
      </c>
      <c r="K230" s="33">
        <f t="shared" si="73"/>
        <v>152485.03018927571</v>
      </c>
      <c r="L230" s="19">
        <f t="shared" si="74"/>
        <v>1.6997008540889991</v>
      </c>
      <c r="M230" s="19">
        <f t="shared" si="75"/>
        <v>1.6997008540889991</v>
      </c>
      <c r="N230" s="33">
        <f t="shared" si="76"/>
        <v>259178.93604849873</v>
      </c>
      <c r="O230" s="33">
        <f t="shared" si="77"/>
        <v>190194.56348490421</v>
      </c>
      <c r="P230" s="35">
        <f t="shared" si="78"/>
        <v>0.45537485626429042</v>
      </c>
      <c r="Q230" s="35">
        <f t="shared" si="79"/>
        <v>7.4300178034070616E-2</v>
      </c>
      <c r="R230" s="35">
        <f t="shared" si="80"/>
        <v>0.32068911061538669</v>
      </c>
      <c r="S230" s="35">
        <f t="shared" si="81"/>
        <v>-0.45537485626429042</v>
      </c>
      <c r="T230" s="35">
        <f t="shared" si="82"/>
        <v>-7.430017803407063E-2</v>
      </c>
      <c r="U230" s="35">
        <f t="shared" si="83"/>
        <v>-0.32068911061538674</v>
      </c>
    </row>
    <row r="231" spans="1:21" x14ac:dyDescent="0.25">
      <c r="A231" s="26">
        <f t="shared" si="63"/>
        <v>28</v>
      </c>
      <c r="B231" s="26">
        <f t="shared" si="64"/>
        <v>7</v>
      </c>
      <c r="C231" s="26">
        <f t="shared" si="65"/>
        <v>12</v>
      </c>
      <c r="D231" s="26">
        <f t="shared" si="66"/>
        <v>1</v>
      </c>
      <c r="E231" s="26">
        <f t="shared" si="67"/>
        <v>20</v>
      </c>
      <c r="F231" s="26">
        <f t="shared" si="68"/>
        <v>52</v>
      </c>
      <c r="G231" s="29">
        <f t="shared" si="69"/>
        <v>45047</v>
      </c>
      <c r="H231" s="26">
        <f t="shared" si="70"/>
        <v>59</v>
      </c>
      <c r="I231" s="29">
        <f t="shared" si="71"/>
        <v>45231</v>
      </c>
      <c r="J231" s="33">
        <f t="shared" si="72"/>
        <v>298467.6802778244</v>
      </c>
      <c r="K231" s="33">
        <f t="shared" si="73"/>
        <v>155504.0401403904</v>
      </c>
      <c r="L231" s="19">
        <f t="shared" si="74"/>
        <v>1.6997008540889991</v>
      </c>
      <c r="M231" s="19">
        <f t="shared" si="75"/>
        <v>1.6997008540889991</v>
      </c>
      <c r="N231" s="33">
        <f t="shared" si="76"/>
        <v>264310.34984091157</v>
      </c>
      <c r="O231" s="33">
        <f t="shared" si="77"/>
        <v>196188.7595699782</v>
      </c>
      <c r="P231" s="35">
        <f t="shared" si="78"/>
        <v>0.47899203024045461</v>
      </c>
      <c r="Q231" s="35">
        <f t="shared" si="79"/>
        <v>0.11444230881252525</v>
      </c>
      <c r="R231" s="35">
        <f t="shared" si="80"/>
        <v>0.34268005370846627</v>
      </c>
      <c r="S231" s="35">
        <f t="shared" si="81"/>
        <v>-0.47899203024045467</v>
      </c>
      <c r="T231" s="35">
        <f t="shared" si="82"/>
        <v>-0.11444230881252526</v>
      </c>
      <c r="U231" s="35">
        <f t="shared" si="83"/>
        <v>-0.34268005370846633</v>
      </c>
    </row>
    <row r="232" spans="1:21" x14ac:dyDescent="0.25">
      <c r="A232" s="37">
        <f t="shared" si="63"/>
        <v>28</v>
      </c>
      <c r="B232" s="37">
        <f t="shared" si="64"/>
        <v>8</v>
      </c>
      <c r="C232" s="37">
        <f t="shared" si="65"/>
        <v>12</v>
      </c>
      <c r="D232" s="37">
        <f t="shared" si="66"/>
        <v>1</v>
      </c>
      <c r="E232" s="37">
        <f t="shared" si="67"/>
        <v>20</v>
      </c>
      <c r="F232" s="37">
        <f t="shared" si="68"/>
        <v>52</v>
      </c>
      <c r="G232" s="38">
        <f t="shared" si="69"/>
        <v>45047</v>
      </c>
      <c r="H232" s="37">
        <f t="shared" si="70"/>
        <v>60</v>
      </c>
      <c r="I232" s="38">
        <f t="shared" si="71"/>
        <v>45261</v>
      </c>
      <c r="J232" s="39">
        <f t="shared" si="72"/>
        <v>326301.66045475012</v>
      </c>
      <c r="K232" s="39">
        <f t="shared" si="73"/>
        <v>160734.2702050395</v>
      </c>
      <c r="L232" s="40">
        <f t="shared" si="74"/>
        <v>1.6997008540889991</v>
      </c>
      <c r="M232" s="40">
        <f t="shared" si="75"/>
        <v>1.6997008540889991</v>
      </c>
      <c r="N232" s="39">
        <f t="shared" si="76"/>
        <v>273200.17634887761</v>
      </c>
      <c r="O232" s="39">
        <f t="shared" si="77"/>
        <v>196273.5693843427</v>
      </c>
      <c r="P232" s="41">
        <f t="shared" si="78"/>
        <v>0.50740590783071016</v>
      </c>
      <c r="Q232" s="41">
        <f t="shared" si="79"/>
        <v>0.16273740082066288</v>
      </c>
      <c r="R232" s="41">
        <f t="shared" si="80"/>
        <v>0.39849043639310278</v>
      </c>
      <c r="S232" s="41">
        <f t="shared" si="81"/>
        <v>-0.50740590783071016</v>
      </c>
      <c r="T232" s="41">
        <f t="shared" si="82"/>
        <v>-0.1627374008206629</v>
      </c>
      <c r="U232" s="41">
        <f t="shared" si="83"/>
        <v>-0.39849043639310278</v>
      </c>
    </row>
    <row r="233" spans="1:21" x14ac:dyDescent="0.25">
      <c r="A233" s="26">
        <f t="shared" si="63"/>
        <v>29</v>
      </c>
      <c r="B233" s="26">
        <f t="shared" si="64"/>
        <v>1</v>
      </c>
      <c r="C233" s="26">
        <f t="shared" si="65"/>
        <v>11</v>
      </c>
      <c r="D233" s="26">
        <f t="shared" si="66"/>
        <v>1</v>
      </c>
      <c r="E233" s="26">
        <f t="shared" si="67"/>
        <v>21</v>
      </c>
      <c r="F233" s="26">
        <f t="shared" si="68"/>
        <v>53</v>
      </c>
      <c r="G233" s="29">
        <f t="shared" si="69"/>
        <v>45078</v>
      </c>
      <c r="H233" s="26">
        <f t="shared" si="70"/>
        <v>54</v>
      </c>
      <c r="I233" s="29">
        <f t="shared" si="71"/>
        <v>45078</v>
      </c>
      <c r="J233" s="33">
        <f t="shared" si="72"/>
        <v>205503.24020504949</v>
      </c>
      <c r="K233" s="33">
        <f t="shared" si="73"/>
        <v>133353.570147872</v>
      </c>
      <c r="L233" s="19">
        <f t="shared" si="74"/>
        <v>1.7519476670133769</v>
      </c>
      <c r="M233" s="19">
        <f t="shared" si="75"/>
        <v>1.7519476670133769</v>
      </c>
      <c r="N233" s="33">
        <f t="shared" si="76"/>
        <v>233628.47610846904</v>
      </c>
      <c r="O233" s="33">
        <f t="shared" si="77"/>
        <v>219975.82049603321</v>
      </c>
      <c r="P233" s="35">
        <f t="shared" si="78"/>
        <v>0.3510877492013611</v>
      </c>
      <c r="Q233" s="35">
        <f t="shared" si="79"/>
        <v>0.13686030388307463</v>
      </c>
      <c r="R233" s="35">
        <f t="shared" si="80"/>
        <v>7.0425071042885243E-2</v>
      </c>
      <c r="S233" s="35">
        <f t="shared" si="81"/>
        <v>-0.3510877492013611</v>
      </c>
      <c r="T233" s="35">
        <f t="shared" si="82"/>
        <v>0.13686030388307469</v>
      </c>
      <c r="U233" s="35">
        <f t="shared" si="83"/>
        <v>7.0425071042885312E-2</v>
      </c>
    </row>
    <row r="234" spans="1:21" x14ac:dyDescent="0.25">
      <c r="A234" s="26">
        <f t="shared" si="63"/>
        <v>29</v>
      </c>
      <c r="B234" s="26">
        <f t="shared" si="64"/>
        <v>2</v>
      </c>
      <c r="C234" s="26">
        <f t="shared" si="65"/>
        <v>11</v>
      </c>
      <c r="D234" s="26">
        <f t="shared" si="66"/>
        <v>1</v>
      </c>
      <c r="E234" s="26">
        <f t="shared" si="67"/>
        <v>21</v>
      </c>
      <c r="F234" s="26">
        <f t="shared" si="68"/>
        <v>53</v>
      </c>
      <c r="G234" s="29">
        <f t="shared" si="69"/>
        <v>45078</v>
      </c>
      <c r="H234" s="26">
        <f t="shared" si="70"/>
        <v>55</v>
      </c>
      <c r="I234" s="29">
        <f t="shared" si="71"/>
        <v>45108</v>
      </c>
      <c r="J234" s="33">
        <f t="shared" si="72"/>
        <v>232777.6403400898</v>
      </c>
      <c r="K234" s="33">
        <f t="shared" si="73"/>
        <v>137325.9301383495</v>
      </c>
      <c r="L234" s="19">
        <f t="shared" si="74"/>
        <v>1.7519476670133769</v>
      </c>
      <c r="M234" s="19">
        <f t="shared" si="75"/>
        <v>1.7519476670133769</v>
      </c>
      <c r="N234" s="33">
        <f t="shared" si="76"/>
        <v>240587.84292632338</v>
      </c>
      <c r="O234" s="33">
        <f t="shared" si="77"/>
        <v>244011.62832435369</v>
      </c>
      <c r="P234" s="35">
        <f t="shared" si="78"/>
        <v>0.41005532173229636</v>
      </c>
      <c r="Q234" s="35">
        <f t="shared" si="79"/>
        <v>3.3552202758060548E-2</v>
      </c>
      <c r="R234" s="35">
        <f t="shared" si="80"/>
        <v>4.8260597400381557E-2</v>
      </c>
      <c r="S234" s="35">
        <f t="shared" si="81"/>
        <v>-0.41005532173229642</v>
      </c>
      <c r="T234" s="35">
        <f t="shared" si="82"/>
        <v>3.355220275806059E-2</v>
      </c>
      <c r="U234" s="35">
        <f t="shared" si="83"/>
        <v>4.8260597400381577E-2</v>
      </c>
    </row>
    <row r="235" spans="1:21" x14ac:dyDescent="0.25">
      <c r="A235" s="26">
        <f t="shared" si="63"/>
        <v>29</v>
      </c>
      <c r="B235" s="26">
        <f t="shared" si="64"/>
        <v>3</v>
      </c>
      <c r="C235" s="26">
        <f t="shared" si="65"/>
        <v>11</v>
      </c>
      <c r="D235" s="26">
        <f t="shared" si="66"/>
        <v>1</v>
      </c>
      <c r="E235" s="26">
        <f t="shared" si="67"/>
        <v>21</v>
      </c>
      <c r="F235" s="26">
        <f t="shared" si="68"/>
        <v>53</v>
      </c>
      <c r="G235" s="29">
        <f t="shared" si="69"/>
        <v>45078</v>
      </c>
      <c r="H235" s="26">
        <f t="shared" si="70"/>
        <v>56</v>
      </c>
      <c r="I235" s="29">
        <f t="shared" si="71"/>
        <v>45139</v>
      </c>
      <c r="J235" s="33">
        <f t="shared" si="72"/>
        <v>246129.77018761629</v>
      </c>
      <c r="K235" s="33">
        <f t="shared" si="73"/>
        <v>142612.7901010513</v>
      </c>
      <c r="L235" s="19">
        <f t="shared" si="74"/>
        <v>1.7519476670133769</v>
      </c>
      <c r="M235" s="19">
        <f t="shared" si="75"/>
        <v>1.7519476670133769</v>
      </c>
      <c r="N235" s="33">
        <f t="shared" si="76"/>
        <v>249850.14490380525</v>
      </c>
      <c r="O235" s="33">
        <f t="shared" si="77"/>
        <v>255679.64365356349</v>
      </c>
      <c r="P235" s="35">
        <f t="shared" si="78"/>
        <v>0.42057886783731013</v>
      </c>
      <c r="Q235" s="35">
        <f t="shared" si="79"/>
        <v>1.5115500710674081E-2</v>
      </c>
      <c r="R235" s="35">
        <f t="shared" si="80"/>
        <v>3.8800155944840216E-2</v>
      </c>
      <c r="S235" s="35">
        <f t="shared" si="81"/>
        <v>-0.42057886783731013</v>
      </c>
      <c r="T235" s="35">
        <f t="shared" si="82"/>
        <v>1.5115500710674024E-2</v>
      </c>
      <c r="U235" s="35">
        <f t="shared" si="83"/>
        <v>3.880015594484032E-2</v>
      </c>
    </row>
    <row r="236" spans="1:21" x14ac:dyDescent="0.25">
      <c r="A236" s="26">
        <f t="shared" si="63"/>
        <v>29</v>
      </c>
      <c r="B236" s="26">
        <f t="shared" si="64"/>
        <v>4</v>
      </c>
      <c r="C236" s="26">
        <f t="shared" si="65"/>
        <v>11</v>
      </c>
      <c r="D236" s="26">
        <f t="shared" si="66"/>
        <v>1</v>
      </c>
      <c r="E236" s="26">
        <f t="shared" si="67"/>
        <v>21</v>
      </c>
      <c r="F236" s="26">
        <f t="shared" si="68"/>
        <v>53</v>
      </c>
      <c r="G236" s="29">
        <f t="shared" si="69"/>
        <v>45078</v>
      </c>
      <c r="H236" s="26">
        <f t="shared" si="70"/>
        <v>57</v>
      </c>
      <c r="I236" s="29">
        <f t="shared" si="71"/>
        <v>45170</v>
      </c>
      <c r="J236" s="33">
        <f t="shared" si="72"/>
        <v>261138.52030706409</v>
      </c>
      <c r="K236" s="33">
        <f t="shared" si="73"/>
        <v>137519.58025622371</v>
      </c>
      <c r="L236" s="19">
        <f t="shared" si="74"/>
        <v>1.7519476670133769</v>
      </c>
      <c r="M236" s="19">
        <f t="shared" si="75"/>
        <v>1.7519476670133769</v>
      </c>
      <c r="N236" s="33">
        <f t="shared" si="76"/>
        <v>240927.10779854996</v>
      </c>
      <c r="O236" s="33">
        <f t="shared" si="77"/>
        <v>256183.79718621299</v>
      </c>
      <c r="P236" s="35">
        <f t="shared" si="78"/>
        <v>0.47338454665930169</v>
      </c>
      <c r="Q236" s="35">
        <f t="shared" si="79"/>
        <v>7.7397285106571789E-2</v>
      </c>
      <c r="R236" s="35">
        <f t="shared" si="80"/>
        <v>1.8973543677221573E-2</v>
      </c>
      <c r="S236" s="35">
        <f t="shared" si="81"/>
        <v>-0.47338454665930163</v>
      </c>
      <c r="T236" s="35">
        <f t="shared" si="82"/>
        <v>-7.7397285106571845E-2</v>
      </c>
      <c r="U236" s="35">
        <f t="shared" si="83"/>
        <v>-1.8973543677221594E-2</v>
      </c>
    </row>
    <row r="237" spans="1:21" x14ac:dyDescent="0.25">
      <c r="A237" s="26">
        <f t="shared" si="63"/>
        <v>29</v>
      </c>
      <c r="B237" s="26">
        <f t="shared" si="64"/>
        <v>5</v>
      </c>
      <c r="C237" s="26">
        <f t="shared" si="65"/>
        <v>11</v>
      </c>
      <c r="D237" s="26">
        <f t="shared" si="66"/>
        <v>1</v>
      </c>
      <c r="E237" s="26">
        <f t="shared" si="67"/>
        <v>21</v>
      </c>
      <c r="F237" s="26">
        <f t="shared" si="68"/>
        <v>53</v>
      </c>
      <c r="G237" s="29">
        <f t="shared" si="69"/>
        <v>45078</v>
      </c>
      <c r="H237" s="26">
        <f t="shared" si="70"/>
        <v>58</v>
      </c>
      <c r="I237" s="29">
        <f t="shared" si="71"/>
        <v>45200</v>
      </c>
      <c r="J237" s="33">
        <f t="shared" si="72"/>
        <v>279981.62028169632</v>
      </c>
      <c r="K237" s="33">
        <f t="shared" si="73"/>
        <v>152485.03018927571</v>
      </c>
      <c r="L237" s="19">
        <f t="shared" si="74"/>
        <v>1.7519476670133769</v>
      </c>
      <c r="M237" s="19">
        <f t="shared" si="75"/>
        <v>1.7519476670133769</v>
      </c>
      <c r="N237" s="33">
        <f t="shared" si="76"/>
        <v>267145.79289456591</v>
      </c>
      <c r="O237" s="33">
        <f t="shared" si="77"/>
        <v>295610.87455572077</v>
      </c>
      <c r="P237" s="35">
        <f t="shared" si="78"/>
        <v>0.45537485626429042</v>
      </c>
      <c r="Q237" s="35">
        <f t="shared" si="79"/>
        <v>4.584525003539866E-2</v>
      </c>
      <c r="R237" s="35">
        <f t="shared" si="80"/>
        <v>5.5822429551980877E-2</v>
      </c>
      <c r="S237" s="35">
        <f t="shared" si="81"/>
        <v>-0.45537485626429042</v>
      </c>
      <c r="T237" s="35">
        <f t="shared" si="82"/>
        <v>-4.5845250035398633E-2</v>
      </c>
      <c r="U237" s="35">
        <f t="shared" si="83"/>
        <v>5.5822429551980912E-2</v>
      </c>
    </row>
    <row r="238" spans="1:21" x14ac:dyDescent="0.25">
      <c r="A238" s="26">
        <f t="shared" si="63"/>
        <v>29</v>
      </c>
      <c r="B238" s="26">
        <f t="shared" si="64"/>
        <v>6</v>
      </c>
      <c r="C238" s="26">
        <f t="shared" si="65"/>
        <v>11</v>
      </c>
      <c r="D238" s="26">
        <f t="shared" si="66"/>
        <v>1</v>
      </c>
      <c r="E238" s="26">
        <f t="shared" si="67"/>
        <v>21</v>
      </c>
      <c r="F238" s="26">
        <f t="shared" si="68"/>
        <v>53</v>
      </c>
      <c r="G238" s="29">
        <f t="shared" si="69"/>
        <v>45078</v>
      </c>
      <c r="H238" s="26">
        <f t="shared" si="70"/>
        <v>59</v>
      </c>
      <c r="I238" s="29">
        <f t="shared" si="71"/>
        <v>45231</v>
      </c>
      <c r="J238" s="33">
        <f t="shared" si="72"/>
        <v>298467.6802778244</v>
      </c>
      <c r="K238" s="33">
        <f t="shared" si="73"/>
        <v>155504.0401403904</v>
      </c>
      <c r="L238" s="19">
        <f t="shared" si="74"/>
        <v>1.7519476670133769</v>
      </c>
      <c r="M238" s="19">
        <f t="shared" si="75"/>
        <v>1.7519476670133769</v>
      </c>
      <c r="N238" s="33">
        <f t="shared" si="76"/>
        <v>272434.94033511146</v>
      </c>
      <c r="O238" s="33">
        <f t="shared" si="77"/>
        <v>323992.94925039768</v>
      </c>
      <c r="P238" s="35">
        <f t="shared" si="78"/>
        <v>0.47899203024045461</v>
      </c>
      <c r="Q238" s="35">
        <f t="shared" si="79"/>
        <v>8.722130288438848E-2</v>
      </c>
      <c r="R238" s="35">
        <f t="shared" si="80"/>
        <v>8.5521048539706018E-2</v>
      </c>
      <c r="S238" s="35">
        <f t="shared" si="81"/>
        <v>-0.47899203024045467</v>
      </c>
      <c r="T238" s="35">
        <f t="shared" si="82"/>
        <v>-8.7221302884388452E-2</v>
      </c>
      <c r="U238" s="35">
        <f t="shared" si="83"/>
        <v>8.5521048539705991E-2</v>
      </c>
    </row>
    <row r="239" spans="1:21" x14ac:dyDescent="0.25">
      <c r="A239" s="26">
        <f t="shared" si="63"/>
        <v>29</v>
      </c>
      <c r="B239" s="26">
        <f t="shared" si="64"/>
        <v>7</v>
      </c>
      <c r="C239" s="26">
        <f t="shared" si="65"/>
        <v>11</v>
      </c>
      <c r="D239" s="26">
        <f t="shared" si="66"/>
        <v>1</v>
      </c>
      <c r="E239" s="26">
        <f t="shared" si="67"/>
        <v>21</v>
      </c>
      <c r="F239" s="26">
        <f t="shared" si="68"/>
        <v>53</v>
      </c>
      <c r="G239" s="29">
        <f t="shared" si="69"/>
        <v>45078</v>
      </c>
      <c r="H239" s="26">
        <f t="shared" si="70"/>
        <v>60</v>
      </c>
      <c r="I239" s="29">
        <f t="shared" si="71"/>
        <v>45261</v>
      </c>
      <c r="J239" s="33">
        <f t="shared" si="72"/>
        <v>326301.66045475012</v>
      </c>
      <c r="K239" s="33">
        <f t="shared" si="73"/>
        <v>160734.2702050395</v>
      </c>
      <c r="L239" s="19">
        <f t="shared" si="74"/>
        <v>1.7519476670133769</v>
      </c>
      <c r="M239" s="19">
        <f t="shared" si="75"/>
        <v>1.7519476670133769</v>
      </c>
      <c r="N239" s="33">
        <f t="shared" si="76"/>
        <v>281598.02969481668</v>
      </c>
      <c r="O239" s="33">
        <f t="shared" si="77"/>
        <v>344020.73773611832</v>
      </c>
      <c r="P239" s="35">
        <f t="shared" si="78"/>
        <v>0.50740590783071016</v>
      </c>
      <c r="Q239" s="35">
        <f t="shared" si="79"/>
        <v>0.13700092943944034</v>
      </c>
      <c r="R239" s="35">
        <f t="shared" si="80"/>
        <v>5.430274935369319E-2</v>
      </c>
      <c r="S239" s="35">
        <f t="shared" si="81"/>
        <v>-0.50740590783071016</v>
      </c>
      <c r="T239" s="35">
        <f t="shared" si="82"/>
        <v>-0.13700092943944031</v>
      </c>
      <c r="U239" s="35">
        <f t="shared" si="83"/>
        <v>5.4302749353693169E-2</v>
      </c>
    </row>
    <row r="240" spans="1:21" x14ac:dyDescent="0.25">
      <c r="A240" s="37">
        <f t="shared" si="63"/>
        <v>29</v>
      </c>
      <c r="B240" s="37">
        <f t="shared" si="64"/>
        <v>8</v>
      </c>
      <c r="C240" s="37">
        <f t="shared" si="65"/>
        <v>11</v>
      </c>
      <c r="D240" s="37">
        <f t="shared" si="66"/>
        <v>1</v>
      </c>
      <c r="E240" s="37">
        <f t="shared" si="67"/>
        <v>21</v>
      </c>
      <c r="F240" s="37">
        <f t="shared" si="68"/>
        <v>53</v>
      </c>
      <c r="G240" s="38">
        <f t="shared" si="69"/>
        <v>45078</v>
      </c>
      <c r="H240" s="37">
        <f t="shared" si="70"/>
        <v>61</v>
      </c>
      <c r="I240" s="38">
        <f t="shared" si="71"/>
        <v>45292</v>
      </c>
      <c r="J240" s="39">
        <f t="shared" si="72"/>
        <v>348737.74029840901</v>
      </c>
      <c r="K240" s="39">
        <f t="shared" si="73"/>
        <v>188680.17009925839</v>
      </c>
      <c r="L240" s="40">
        <f t="shared" si="74"/>
        <v>1.7519476670133769</v>
      </c>
      <c r="M240" s="40">
        <f t="shared" si="75"/>
        <v>1.7519476670133769</v>
      </c>
      <c r="N240" s="39">
        <f t="shared" si="76"/>
        <v>330557.78381708288</v>
      </c>
      <c r="O240" s="39">
        <f t="shared" si="77"/>
        <v>427647.11584837968</v>
      </c>
      <c r="P240" s="41">
        <f t="shared" si="78"/>
        <v>0.45896257188049694</v>
      </c>
      <c r="Q240" s="41">
        <f t="shared" si="79"/>
        <v>5.2130740039118953E-2</v>
      </c>
      <c r="R240" s="41">
        <f t="shared" si="80"/>
        <v>0.22627139661583295</v>
      </c>
      <c r="S240" s="41">
        <f t="shared" si="81"/>
        <v>-0.45896257188049694</v>
      </c>
      <c r="T240" s="41">
        <f t="shared" si="82"/>
        <v>-5.2130740039118995E-2</v>
      </c>
      <c r="U240" s="41">
        <f t="shared" si="83"/>
        <v>0.22627139661583295</v>
      </c>
    </row>
    <row r="241" spans="1:21" x14ac:dyDescent="0.25">
      <c r="A241" s="26">
        <f t="shared" si="63"/>
        <v>30</v>
      </c>
      <c r="B241" s="26">
        <f t="shared" si="64"/>
        <v>1</v>
      </c>
      <c r="C241" s="26">
        <f t="shared" si="65"/>
        <v>10</v>
      </c>
      <c r="D241" s="26">
        <f t="shared" si="66"/>
        <v>1</v>
      </c>
      <c r="E241" s="26">
        <f t="shared" si="67"/>
        <v>22</v>
      </c>
      <c r="F241" s="26">
        <f t="shared" si="68"/>
        <v>54</v>
      </c>
      <c r="G241" s="29">
        <f t="shared" si="69"/>
        <v>45108</v>
      </c>
      <c r="H241" s="26">
        <f t="shared" si="70"/>
        <v>55</v>
      </c>
      <c r="I241" s="29">
        <f t="shared" si="71"/>
        <v>45108</v>
      </c>
      <c r="J241" s="33">
        <f t="shared" si="72"/>
        <v>232777.6403400898</v>
      </c>
      <c r="K241" s="33">
        <f t="shared" si="73"/>
        <v>137325.9301383495</v>
      </c>
      <c r="L241" s="19">
        <f t="shared" si="74"/>
        <v>1.5410404084208076</v>
      </c>
      <c r="M241" s="19">
        <f t="shared" si="75"/>
        <v>1.5410404084208076</v>
      </c>
      <c r="N241" s="33">
        <f t="shared" si="76"/>
        <v>211624.80746716942</v>
      </c>
      <c r="O241" s="33">
        <f t="shared" si="77"/>
        <v>219673.8130048764</v>
      </c>
      <c r="P241" s="35">
        <f t="shared" si="78"/>
        <v>0.41005532173229636</v>
      </c>
      <c r="Q241" s="35">
        <f t="shared" si="79"/>
        <v>9.087141205665604E-2</v>
      </c>
      <c r="R241" s="35">
        <f t="shared" si="80"/>
        <v>5.629332489180925E-2</v>
      </c>
      <c r="S241" s="35">
        <f t="shared" si="81"/>
        <v>-0.41005532173229642</v>
      </c>
      <c r="T241" s="35">
        <f t="shared" si="82"/>
        <v>-9.0871412056656053E-2</v>
      </c>
      <c r="U241" s="35">
        <f t="shared" si="83"/>
        <v>-5.6293324891809271E-2</v>
      </c>
    </row>
    <row r="242" spans="1:21" x14ac:dyDescent="0.25">
      <c r="A242" s="26">
        <f t="shared" si="63"/>
        <v>30</v>
      </c>
      <c r="B242" s="26">
        <f t="shared" si="64"/>
        <v>2</v>
      </c>
      <c r="C242" s="26">
        <f t="shared" si="65"/>
        <v>10</v>
      </c>
      <c r="D242" s="26">
        <f t="shared" si="66"/>
        <v>1</v>
      </c>
      <c r="E242" s="26">
        <f t="shared" si="67"/>
        <v>22</v>
      </c>
      <c r="F242" s="26">
        <f t="shared" si="68"/>
        <v>54</v>
      </c>
      <c r="G242" s="29">
        <f t="shared" si="69"/>
        <v>45108</v>
      </c>
      <c r="H242" s="26">
        <f t="shared" si="70"/>
        <v>56</v>
      </c>
      <c r="I242" s="29">
        <f t="shared" si="71"/>
        <v>45139</v>
      </c>
      <c r="J242" s="33">
        <f t="shared" si="72"/>
        <v>246129.77018761629</v>
      </c>
      <c r="K242" s="33">
        <f t="shared" si="73"/>
        <v>142612.7901010513</v>
      </c>
      <c r="L242" s="19">
        <f t="shared" si="74"/>
        <v>1.5410404084208076</v>
      </c>
      <c r="M242" s="19">
        <f t="shared" si="75"/>
        <v>1.5410404084208076</v>
      </c>
      <c r="N242" s="33">
        <f t="shared" si="76"/>
        <v>219772.072303355</v>
      </c>
      <c r="O242" s="33">
        <f t="shared" si="77"/>
        <v>221941.0433455779</v>
      </c>
      <c r="P242" s="35">
        <f t="shared" si="78"/>
        <v>0.42057886783731013</v>
      </c>
      <c r="Q242" s="35">
        <f t="shared" si="79"/>
        <v>0.10708862184436169</v>
      </c>
      <c r="R242" s="35">
        <f t="shared" si="80"/>
        <v>9.8276315065829511E-2</v>
      </c>
      <c r="S242" s="35">
        <f t="shared" si="81"/>
        <v>-0.42057886783731013</v>
      </c>
      <c r="T242" s="35">
        <f t="shared" si="82"/>
        <v>-0.10708862184436174</v>
      </c>
      <c r="U242" s="35">
        <f t="shared" si="83"/>
        <v>-9.8276315065829567E-2</v>
      </c>
    </row>
    <row r="243" spans="1:21" x14ac:dyDescent="0.25">
      <c r="A243" s="26">
        <f t="shared" si="63"/>
        <v>30</v>
      </c>
      <c r="B243" s="26">
        <f t="shared" si="64"/>
        <v>3</v>
      </c>
      <c r="C243" s="26">
        <f t="shared" si="65"/>
        <v>10</v>
      </c>
      <c r="D243" s="26">
        <f t="shared" si="66"/>
        <v>1</v>
      </c>
      <c r="E243" s="26">
        <f t="shared" si="67"/>
        <v>22</v>
      </c>
      <c r="F243" s="26">
        <f t="shared" si="68"/>
        <v>54</v>
      </c>
      <c r="G243" s="29">
        <f t="shared" si="69"/>
        <v>45108</v>
      </c>
      <c r="H243" s="26">
        <f t="shared" si="70"/>
        <v>57</v>
      </c>
      <c r="I243" s="29">
        <f t="shared" si="71"/>
        <v>45170</v>
      </c>
      <c r="J243" s="33">
        <f t="shared" si="72"/>
        <v>261138.52030706409</v>
      </c>
      <c r="K243" s="33">
        <f t="shared" si="73"/>
        <v>137519.58025622371</v>
      </c>
      <c r="L243" s="19">
        <f t="shared" si="74"/>
        <v>1.5410404084208076</v>
      </c>
      <c r="M243" s="19">
        <f t="shared" si="75"/>
        <v>1.5410404084208076</v>
      </c>
      <c r="N243" s="33">
        <f t="shared" si="76"/>
        <v>211923.23012390902</v>
      </c>
      <c r="O243" s="33">
        <f t="shared" si="77"/>
        <v>214545.22540429901</v>
      </c>
      <c r="P243" s="35">
        <f t="shared" si="78"/>
        <v>0.47338454665930169</v>
      </c>
      <c r="Q243" s="35">
        <f t="shared" si="79"/>
        <v>0.18846430670314149</v>
      </c>
      <c r="R243" s="35">
        <f t="shared" si="80"/>
        <v>0.1784236766294669</v>
      </c>
      <c r="S243" s="35">
        <f t="shared" si="81"/>
        <v>-0.47338454665930163</v>
      </c>
      <c r="T243" s="35">
        <f t="shared" si="82"/>
        <v>-0.18846430670314152</v>
      </c>
      <c r="U243" s="35">
        <f t="shared" si="83"/>
        <v>-0.1784236766294669</v>
      </c>
    </row>
    <row r="244" spans="1:21" x14ac:dyDescent="0.25">
      <c r="A244" s="26">
        <f t="shared" si="63"/>
        <v>30</v>
      </c>
      <c r="B244" s="26">
        <f t="shared" si="64"/>
        <v>4</v>
      </c>
      <c r="C244" s="26">
        <f t="shared" si="65"/>
        <v>10</v>
      </c>
      <c r="D244" s="26">
        <f t="shared" si="66"/>
        <v>1</v>
      </c>
      <c r="E244" s="26">
        <f t="shared" si="67"/>
        <v>22</v>
      </c>
      <c r="F244" s="26">
        <f t="shared" si="68"/>
        <v>54</v>
      </c>
      <c r="G244" s="29">
        <f t="shared" si="69"/>
        <v>45108</v>
      </c>
      <c r="H244" s="26">
        <f t="shared" si="70"/>
        <v>58</v>
      </c>
      <c r="I244" s="29">
        <f t="shared" si="71"/>
        <v>45200</v>
      </c>
      <c r="J244" s="33">
        <f t="shared" si="72"/>
        <v>279981.62028169632</v>
      </c>
      <c r="K244" s="33">
        <f t="shared" si="73"/>
        <v>152485.03018927571</v>
      </c>
      <c r="L244" s="19">
        <f t="shared" si="74"/>
        <v>1.5410404084208076</v>
      </c>
      <c r="M244" s="19">
        <f t="shared" si="75"/>
        <v>1.5410404084208076</v>
      </c>
      <c r="N244" s="33">
        <f t="shared" si="76"/>
        <v>234985.59320094061</v>
      </c>
      <c r="O244" s="33">
        <f t="shared" si="77"/>
        <v>238978.70082574399</v>
      </c>
      <c r="P244" s="35">
        <f t="shared" si="78"/>
        <v>0.45537485626429042</v>
      </c>
      <c r="Q244" s="35">
        <f t="shared" si="79"/>
        <v>0.16071064606128113</v>
      </c>
      <c r="R244" s="35">
        <f t="shared" si="80"/>
        <v>0.14644861121490152</v>
      </c>
      <c r="S244" s="35">
        <f t="shared" si="81"/>
        <v>-0.45537485626429042</v>
      </c>
      <c r="T244" s="35">
        <f t="shared" si="82"/>
        <v>-0.16071064606128116</v>
      </c>
      <c r="U244" s="35">
        <f t="shared" si="83"/>
        <v>-0.14644861121490149</v>
      </c>
    </row>
    <row r="245" spans="1:21" x14ac:dyDescent="0.25">
      <c r="A245" s="26">
        <f t="shared" si="63"/>
        <v>30</v>
      </c>
      <c r="B245" s="26">
        <f t="shared" si="64"/>
        <v>5</v>
      </c>
      <c r="C245" s="26">
        <f t="shared" si="65"/>
        <v>10</v>
      </c>
      <c r="D245" s="26">
        <f t="shared" si="66"/>
        <v>1</v>
      </c>
      <c r="E245" s="26">
        <f t="shared" si="67"/>
        <v>22</v>
      </c>
      <c r="F245" s="26">
        <f t="shared" si="68"/>
        <v>54</v>
      </c>
      <c r="G245" s="29">
        <f t="shared" si="69"/>
        <v>45108</v>
      </c>
      <c r="H245" s="26">
        <f t="shared" si="70"/>
        <v>59</v>
      </c>
      <c r="I245" s="29">
        <f t="shared" si="71"/>
        <v>45231</v>
      </c>
      <c r="J245" s="33">
        <f t="shared" si="72"/>
        <v>298467.6802778244</v>
      </c>
      <c r="K245" s="33">
        <f t="shared" si="73"/>
        <v>155504.0401403904</v>
      </c>
      <c r="L245" s="19">
        <f t="shared" si="74"/>
        <v>1.5410404084208076</v>
      </c>
      <c r="M245" s="19">
        <f t="shared" si="75"/>
        <v>1.5410404084208076</v>
      </c>
      <c r="N245" s="33">
        <f t="shared" si="76"/>
        <v>239638.00952903286</v>
      </c>
      <c r="O245" s="33">
        <f t="shared" si="77"/>
        <v>252986.3542124244</v>
      </c>
      <c r="P245" s="35">
        <f t="shared" si="78"/>
        <v>0.47899203024045461</v>
      </c>
      <c r="Q245" s="35">
        <f t="shared" si="79"/>
        <v>0.19710566549125447</v>
      </c>
      <c r="R245" s="35">
        <f t="shared" si="80"/>
        <v>0.15238275053119441</v>
      </c>
      <c r="S245" s="35">
        <f t="shared" si="81"/>
        <v>-0.47899203024045467</v>
      </c>
      <c r="T245" s="35">
        <f t="shared" si="82"/>
        <v>-0.19710566549125441</v>
      </c>
      <c r="U245" s="35">
        <f t="shared" si="83"/>
        <v>-0.15238275053119443</v>
      </c>
    </row>
    <row r="246" spans="1:21" x14ac:dyDescent="0.25">
      <c r="A246" s="26">
        <f t="shared" si="63"/>
        <v>30</v>
      </c>
      <c r="B246" s="26">
        <f t="shared" si="64"/>
        <v>6</v>
      </c>
      <c r="C246" s="26">
        <f t="shared" si="65"/>
        <v>10</v>
      </c>
      <c r="D246" s="26">
        <f t="shared" si="66"/>
        <v>1</v>
      </c>
      <c r="E246" s="26">
        <f t="shared" si="67"/>
        <v>22</v>
      </c>
      <c r="F246" s="26">
        <f t="shared" si="68"/>
        <v>54</v>
      </c>
      <c r="G246" s="29">
        <f t="shared" si="69"/>
        <v>45108</v>
      </c>
      <c r="H246" s="26">
        <f t="shared" si="70"/>
        <v>60</v>
      </c>
      <c r="I246" s="29">
        <f t="shared" si="71"/>
        <v>45261</v>
      </c>
      <c r="J246" s="33">
        <f t="shared" si="72"/>
        <v>326301.66045475012</v>
      </c>
      <c r="K246" s="33">
        <f t="shared" si="73"/>
        <v>160734.2702050395</v>
      </c>
      <c r="L246" s="19">
        <f t="shared" si="74"/>
        <v>1.5410404084208076</v>
      </c>
      <c r="M246" s="19">
        <f t="shared" si="75"/>
        <v>1.5410404084208076</v>
      </c>
      <c r="N246" s="33">
        <f t="shared" si="76"/>
        <v>247698.00540399452</v>
      </c>
      <c r="O246" s="33">
        <f t="shared" si="77"/>
        <v>259607.60870562779</v>
      </c>
      <c r="P246" s="35">
        <f t="shared" si="78"/>
        <v>0.50740590783071016</v>
      </c>
      <c r="Q246" s="35">
        <f t="shared" si="79"/>
        <v>0.24089259901776061</v>
      </c>
      <c r="R246" s="35">
        <f t="shared" si="80"/>
        <v>0.20439384726444298</v>
      </c>
      <c r="S246" s="35">
        <f t="shared" si="81"/>
        <v>-0.50740590783071016</v>
      </c>
      <c r="T246" s="35">
        <f t="shared" si="82"/>
        <v>-0.24089259901776061</v>
      </c>
      <c r="U246" s="35">
        <f t="shared" si="83"/>
        <v>-0.20439384726444298</v>
      </c>
    </row>
    <row r="247" spans="1:21" x14ac:dyDescent="0.25">
      <c r="A247" s="26">
        <f t="shared" si="63"/>
        <v>30</v>
      </c>
      <c r="B247" s="26">
        <f t="shared" si="64"/>
        <v>7</v>
      </c>
      <c r="C247" s="26">
        <f t="shared" si="65"/>
        <v>10</v>
      </c>
      <c r="D247" s="26">
        <f t="shared" si="66"/>
        <v>1</v>
      </c>
      <c r="E247" s="26">
        <f t="shared" si="67"/>
        <v>22</v>
      </c>
      <c r="F247" s="26">
        <f t="shared" si="68"/>
        <v>54</v>
      </c>
      <c r="G247" s="29">
        <f t="shared" si="69"/>
        <v>45108</v>
      </c>
      <c r="H247" s="26">
        <f t="shared" si="70"/>
        <v>61</v>
      </c>
      <c r="I247" s="29">
        <f t="shared" si="71"/>
        <v>45292</v>
      </c>
      <c r="J247" s="33">
        <f t="shared" si="72"/>
        <v>348737.74029840901</v>
      </c>
      <c r="K247" s="33">
        <f t="shared" si="73"/>
        <v>188680.17009925839</v>
      </c>
      <c r="L247" s="19">
        <f t="shared" si="74"/>
        <v>1.5410404084208076</v>
      </c>
      <c r="M247" s="19">
        <f t="shared" si="75"/>
        <v>1.5410404084208076</v>
      </c>
      <c r="N247" s="33">
        <f t="shared" si="76"/>
        <v>290763.76639066858</v>
      </c>
      <c r="O247" s="33">
        <f t="shared" si="77"/>
        <v>312060.64552068128</v>
      </c>
      <c r="P247" s="35">
        <f t="shared" si="78"/>
        <v>0.45896257188049694</v>
      </c>
      <c r="Q247" s="35">
        <f t="shared" si="79"/>
        <v>0.16623946079977775</v>
      </c>
      <c r="R247" s="35">
        <f t="shared" si="80"/>
        <v>0.10517099395764783</v>
      </c>
      <c r="S247" s="35">
        <f t="shared" si="81"/>
        <v>-0.45896257188049694</v>
      </c>
      <c r="T247" s="35">
        <f t="shared" si="82"/>
        <v>-0.16623946079977769</v>
      </c>
      <c r="U247" s="35">
        <f t="shared" si="83"/>
        <v>-0.10517099395764784</v>
      </c>
    </row>
    <row r="248" spans="1:21" x14ac:dyDescent="0.25">
      <c r="A248" s="37">
        <f t="shared" si="63"/>
        <v>30</v>
      </c>
      <c r="B248" s="37">
        <f t="shared" si="64"/>
        <v>8</v>
      </c>
      <c r="C248" s="37">
        <f t="shared" si="65"/>
        <v>10</v>
      </c>
      <c r="D248" s="37">
        <f t="shared" si="66"/>
        <v>1</v>
      </c>
      <c r="E248" s="37">
        <f t="shared" si="67"/>
        <v>22</v>
      </c>
      <c r="F248" s="37">
        <f t="shared" si="68"/>
        <v>54</v>
      </c>
      <c r="G248" s="38">
        <f t="shared" si="69"/>
        <v>45108</v>
      </c>
      <c r="H248" s="37">
        <f t="shared" si="70"/>
        <v>62</v>
      </c>
      <c r="I248" s="38">
        <f t="shared" si="71"/>
        <v>45323</v>
      </c>
      <c r="J248" s="39">
        <f t="shared" si="72"/>
        <v>381972.60026504472</v>
      </c>
      <c r="K248" s="39">
        <f t="shared" si="73"/>
        <v>167409.8501970768</v>
      </c>
      <c r="L248" s="40">
        <f t="shared" si="74"/>
        <v>1.5410404084208076</v>
      </c>
      <c r="M248" s="40">
        <f t="shared" si="75"/>
        <v>1.5410404084208076</v>
      </c>
      <c r="N248" s="39">
        <f t="shared" si="76"/>
        <v>257985.34392136944</v>
      </c>
      <c r="O248" s="39">
        <f t="shared" si="77"/>
        <v>287056.14218432689</v>
      </c>
      <c r="P248" s="41">
        <f t="shared" si="78"/>
        <v>0.56172288252897262</v>
      </c>
      <c r="Q248" s="41">
        <f t="shared" si="79"/>
        <v>0.32459725189095368</v>
      </c>
      <c r="R248" s="41">
        <f t="shared" si="80"/>
        <v>0.2484902268247953</v>
      </c>
      <c r="S248" s="41">
        <f t="shared" si="81"/>
        <v>-0.56172288252897262</v>
      </c>
      <c r="T248" s="41">
        <f t="shared" si="82"/>
        <v>-0.32459725189095368</v>
      </c>
      <c r="U248" s="41">
        <f t="shared" si="83"/>
        <v>-0.24849022682479527</v>
      </c>
    </row>
    <row r="249" spans="1:21" x14ac:dyDescent="0.25">
      <c r="A249" s="26">
        <f t="shared" si="63"/>
        <v>31</v>
      </c>
      <c r="B249" s="26">
        <f t="shared" si="64"/>
        <v>1</v>
      </c>
      <c r="C249" s="26">
        <f t="shared" si="65"/>
        <v>9</v>
      </c>
      <c r="D249" s="26">
        <f t="shared" si="66"/>
        <v>1</v>
      </c>
      <c r="E249" s="26">
        <f t="shared" si="67"/>
        <v>23</v>
      </c>
      <c r="F249" s="26">
        <f t="shared" si="68"/>
        <v>55</v>
      </c>
      <c r="G249" s="29">
        <f t="shared" si="69"/>
        <v>45139</v>
      </c>
      <c r="H249" s="26">
        <f t="shared" si="70"/>
        <v>56</v>
      </c>
      <c r="I249" s="29">
        <f t="shared" si="71"/>
        <v>45139</v>
      </c>
      <c r="J249" s="33">
        <f t="shared" si="72"/>
        <v>246129.77018761629</v>
      </c>
      <c r="K249" s="33">
        <f t="shared" si="73"/>
        <v>142612.7901010513</v>
      </c>
      <c r="L249" s="19">
        <f t="shared" si="74"/>
        <v>1.6950741939674256</v>
      </c>
      <c r="M249" s="19">
        <f t="shared" si="75"/>
        <v>1.6950741939674256</v>
      </c>
      <c r="N249" s="33">
        <f t="shared" si="76"/>
        <v>241739.2602299852</v>
      </c>
      <c r="O249" s="33">
        <f t="shared" si="77"/>
        <v>242534.38428376289</v>
      </c>
      <c r="P249" s="35">
        <f t="shared" si="78"/>
        <v>0.42057886783731013</v>
      </c>
      <c r="Q249" s="35">
        <f t="shared" si="79"/>
        <v>1.7838191431635248E-2</v>
      </c>
      <c r="R249" s="35">
        <f t="shared" si="80"/>
        <v>1.4607683991712013E-2</v>
      </c>
      <c r="S249" s="35">
        <f t="shared" si="81"/>
        <v>-0.42057886783731013</v>
      </c>
      <c r="T249" s="35">
        <f t="shared" si="82"/>
        <v>-1.7838191431635231E-2</v>
      </c>
      <c r="U249" s="35">
        <f t="shared" si="83"/>
        <v>-1.4607683991711973E-2</v>
      </c>
    </row>
    <row r="250" spans="1:21" x14ac:dyDescent="0.25">
      <c r="A250" s="26">
        <f t="shared" si="63"/>
        <v>31</v>
      </c>
      <c r="B250" s="26">
        <f t="shared" si="64"/>
        <v>2</v>
      </c>
      <c r="C250" s="26">
        <f t="shared" si="65"/>
        <v>9</v>
      </c>
      <c r="D250" s="26">
        <f t="shared" si="66"/>
        <v>1</v>
      </c>
      <c r="E250" s="26">
        <f t="shared" si="67"/>
        <v>23</v>
      </c>
      <c r="F250" s="26">
        <f t="shared" si="68"/>
        <v>55</v>
      </c>
      <c r="G250" s="29">
        <f t="shared" si="69"/>
        <v>45139</v>
      </c>
      <c r="H250" s="26">
        <f t="shared" si="70"/>
        <v>57</v>
      </c>
      <c r="I250" s="29">
        <f t="shared" si="71"/>
        <v>45170</v>
      </c>
      <c r="J250" s="33">
        <f t="shared" si="72"/>
        <v>261138.52030706409</v>
      </c>
      <c r="K250" s="33">
        <f t="shared" si="73"/>
        <v>137519.58025622371</v>
      </c>
      <c r="L250" s="19">
        <f t="shared" si="74"/>
        <v>1.6950741939674256</v>
      </c>
      <c r="M250" s="19">
        <f t="shared" si="75"/>
        <v>1.6950741939674256</v>
      </c>
      <c r="N250" s="33">
        <f t="shared" si="76"/>
        <v>233105.89165755711</v>
      </c>
      <c r="O250" s="33">
        <f t="shared" si="77"/>
        <v>241647.7135446333</v>
      </c>
      <c r="P250" s="35">
        <f t="shared" si="78"/>
        <v>0.47338454665930169</v>
      </c>
      <c r="Q250" s="35">
        <f t="shared" si="79"/>
        <v>0.10734773489772534</v>
      </c>
      <c r="R250" s="35">
        <f t="shared" si="80"/>
        <v>7.4637808085579252E-2</v>
      </c>
      <c r="S250" s="35">
        <f t="shared" si="81"/>
        <v>-0.47338454665930163</v>
      </c>
      <c r="T250" s="35">
        <f t="shared" si="82"/>
        <v>-0.10734773489772531</v>
      </c>
      <c r="U250" s="35">
        <f t="shared" si="83"/>
        <v>-7.4637808085579294E-2</v>
      </c>
    </row>
    <row r="251" spans="1:21" x14ac:dyDescent="0.25">
      <c r="A251" s="26">
        <f t="shared" si="63"/>
        <v>31</v>
      </c>
      <c r="B251" s="26">
        <f t="shared" si="64"/>
        <v>3</v>
      </c>
      <c r="C251" s="26">
        <f t="shared" si="65"/>
        <v>9</v>
      </c>
      <c r="D251" s="26">
        <f t="shared" si="66"/>
        <v>1</v>
      </c>
      <c r="E251" s="26">
        <f t="shared" si="67"/>
        <v>23</v>
      </c>
      <c r="F251" s="26">
        <f t="shared" si="68"/>
        <v>55</v>
      </c>
      <c r="G251" s="29">
        <f t="shared" si="69"/>
        <v>45139</v>
      </c>
      <c r="H251" s="26">
        <f t="shared" si="70"/>
        <v>58</v>
      </c>
      <c r="I251" s="29">
        <f t="shared" si="71"/>
        <v>45200</v>
      </c>
      <c r="J251" s="33">
        <f t="shared" si="72"/>
        <v>279981.62028169632</v>
      </c>
      <c r="K251" s="33">
        <f t="shared" si="73"/>
        <v>152485.03018927571</v>
      </c>
      <c r="L251" s="19">
        <f t="shared" si="74"/>
        <v>1.6950741939674256</v>
      </c>
      <c r="M251" s="19">
        <f t="shared" si="75"/>
        <v>1.6950741939674256</v>
      </c>
      <c r="N251" s="33">
        <f t="shared" si="76"/>
        <v>258473.4396401851</v>
      </c>
      <c r="O251" s="33">
        <f t="shared" si="77"/>
        <v>277277.65852071991</v>
      </c>
      <c r="P251" s="35">
        <f t="shared" si="78"/>
        <v>0.45537485626429042</v>
      </c>
      <c r="Q251" s="35">
        <f t="shared" si="79"/>
        <v>7.6819973467798772E-2</v>
      </c>
      <c r="R251" s="35">
        <f t="shared" si="80"/>
        <v>9.6576402345835716E-3</v>
      </c>
      <c r="S251" s="35">
        <f t="shared" si="81"/>
        <v>-0.45537485626429042</v>
      </c>
      <c r="T251" s="35">
        <f t="shared" si="82"/>
        <v>-7.6819973467798786E-2</v>
      </c>
      <c r="U251" s="35">
        <f t="shared" si="83"/>
        <v>-9.6576402345835977E-3</v>
      </c>
    </row>
    <row r="252" spans="1:21" x14ac:dyDescent="0.25">
      <c r="A252" s="26">
        <f t="shared" si="63"/>
        <v>31</v>
      </c>
      <c r="B252" s="26">
        <f t="shared" si="64"/>
        <v>4</v>
      </c>
      <c r="C252" s="26">
        <f t="shared" si="65"/>
        <v>9</v>
      </c>
      <c r="D252" s="26">
        <f t="shared" si="66"/>
        <v>1</v>
      </c>
      <c r="E252" s="26">
        <f t="shared" si="67"/>
        <v>23</v>
      </c>
      <c r="F252" s="26">
        <f t="shared" si="68"/>
        <v>55</v>
      </c>
      <c r="G252" s="29">
        <f t="shared" si="69"/>
        <v>45139</v>
      </c>
      <c r="H252" s="26">
        <f t="shared" si="70"/>
        <v>59</v>
      </c>
      <c r="I252" s="29">
        <f t="shared" si="71"/>
        <v>45231</v>
      </c>
      <c r="J252" s="33">
        <f t="shared" si="72"/>
        <v>298467.6802778244</v>
      </c>
      <c r="K252" s="33">
        <f t="shared" si="73"/>
        <v>155504.0401403904</v>
      </c>
      <c r="L252" s="19">
        <f t="shared" si="74"/>
        <v>1.6950741939674256</v>
      </c>
      <c r="M252" s="19">
        <f t="shared" si="75"/>
        <v>1.6950741939674256</v>
      </c>
      <c r="N252" s="33">
        <f t="shared" si="76"/>
        <v>263590.88549965044</v>
      </c>
      <c r="O252" s="33">
        <f t="shared" si="77"/>
        <v>302206.87388017518</v>
      </c>
      <c r="P252" s="35">
        <f t="shared" si="78"/>
        <v>0.47899203024045461</v>
      </c>
      <c r="Q252" s="35">
        <f t="shared" si="79"/>
        <v>0.11685283560923379</v>
      </c>
      <c r="R252" s="35">
        <f t="shared" si="80"/>
        <v>1.2527968183590928E-2</v>
      </c>
      <c r="S252" s="35">
        <f t="shared" si="81"/>
        <v>-0.47899203024045467</v>
      </c>
      <c r="T252" s="35">
        <f t="shared" si="82"/>
        <v>-0.11685283560923376</v>
      </c>
      <c r="U252" s="35">
        <f t="shared" si="83"/>
        <v>1.2527968183591032E-2</v>
      </c>
    </row>
    <row r="253" spans="1:21" x14ac:dyDescent="0.25">
      <c r="A253" s="26">
        <f t="shared" si="63"/>
        <v>31</v>
      </c>
      <c r="B253" s="26">
        <f t="shared" si="64"/>
        <v>5</v>
      </c>
      <c r="C253" s="26">
        <f t="shared" si="65"/>
        <v>9</v>
      </c>
      <c r="D253" s="26">
        <f t="shared" si="66"/>
        <v>1</v>
      </c>
      <c r="E253" s="26">
        <f t="shared" si="67"/>
        <v>23</v>
      </c>
      <c r="F253" s="26">
        <f t="shared" si="68"/>
        <v>55</v>
      </c>
      <c r="G253" s="29">
        <f t="shared" si="69"/>
        <v>45139</v>
      </c>
      <c r="H253" s="26">
        <f t="shared" si="70"/>
        <v>60</v>
      </c>
      <c r="I253" s="29">
        <f t="shared" si="71"/>
        <v>45261</v>
      </c>
      <c r="J253" s="33">
        <f t="shared" si="72"/>
        <v>326301.66045475012</v>
      </c>
      <c r="K253" s="33">
        <f t="shared" si="73"/>
        <v>160734.2702050395</v>
      </c>
      <c r="L253" s="19">
        <f t="shared" si="74"/>
        <v>1.6950741939674256</v>
      </c>
      <c r="M253" s="19">
        <f t="shared" si="75"/>
        <v>1.6950741939674256</v>
      </c>
      <c r="N253" s="33">
        <f t="shared" si="76"/>
        <v>272456.51351074973</v>
      </c>
      <c r="O253" s="33">
        <f t="shared" si="77"/>
        <v>319105.35390714038</v>
      </c>
      <c r="P253" s="35">
        <f t="shared" si="78"/>
        <v>0.50740590783071016</v>
      </c>
      <c r="Q253" s="35">
        <f t="shared" si="79"/>
        <v>0.16501646626302521</v>
      </c>
      <c r="R253" s="35">
        <f t="shared" si="80"/>
        <v>2.205415239867493E-2</v>
      </c>
      <c r="S253" s="35">
        <f t="shared" si="81"/>
        <v>-0.50740590783071016</v>
      </c>
      <c r="T253" s="35">
        <f t="shared" si="82"/>
        <v>-0.16501646626302524</v>
      </c>
      <c r="U253" s="35">
        <f t="shared" si="83"/>
        <v>-2.205415239867492E-2</v>
      </c>
    </row>
    <row r="254" spans="1:21" x14ac:dyDescent="0.25">
      <c r="A254" s="26">
        <f t="shared" si="63"/>
        <v>31</v>
      </c>
      <c r="B254" s="26">
        <f t="shared" si="64"/>
        <v>6</v>
      </c>
      <c r="C254" s="26">
        <f t="shared" si="65"/>
        <v>9</v>
      </c>
      <c r="D254" s="26">
        <f t="shared" si="66"/>
        <v>1</v>
      </c>
      <c r="E254" s="26">
        <f t="shared" si="67"/>
        <v>23</v>
      </c>
      <c r="F254" s="26">
        <f t="shared" si="68"/>
        <v>55</v>
      </c>
      <c r="G254" s="29">
        <f t="shared" si="69"/>
        <v>45139</v>
      </c>
      <c r="H254" s="26">
        <f t="shared" si="70"/>
        <v>61</v>
      </c>
      <c r="I254" s="29">
        <f t="shared" si="71"/>
        <v>45292</v>
      </c>
      <c r="J254" s="33">
        <f t="shared" si="72"/>
        <v>348737.74029840901</v>
      </c>
      <c r="K254" s="33">
        <f t="shared" si="73"/>
        <v>188680.17009925839</v>
      </c>
      <c r="L254" s="19">
        <f t="shared" si="74"/>
        <v>1.6950741939674256</v>
      </c>
      <c r="M254" s="19">
        <f t="shared" si="75"/>
        <v>1.6950741939674256</v>
      </c>
      <c r="N254" s="33">
        <f t="shared" si="76"/>
        <v>319826.88724863721</v>
      </c>
      <c r="O254" s="33">
        <f t="shared" si="77"/>
        <v>394481.70624973148</v>
      </c>
      <c r="P254" s="35">
        <f t="shared" si="78"/>
        <v>0.45896257188049694</v>
      </c>
      <c r="Q254" s="35">
        <f t="shared" si="79"/>
        <v>8.2901417624124285E-2</v>
      </c>
      <c r="R254" s="35">
        <f t="shared" si="80"/>
        <v>0.13117010482484667</v>
      </c>
      <c r="S254" s="35">
        <f t="shared" si="81"/>
        <v>-0.45896257188049694</v>
      </c>
      <c r="T254" s="35">
        <f t="shared" si="82"/>
        <v>-8.2901417624124285E-2</v>
      </c>
      <c r="U254" s="35">
        <f t="shared" si="83"/>
        <v>0.13117010482484659</v>
      </c>
    </row>
    <row r="255" spans="1:21" x14ac:dyDescent="0.25">
      <c r="A255" s="26">
        <f t="shared" si="63"/>
        <v>31</v>
      </c>
      <c r="B255" s="26">
        <f t="shared" si="64"/>
        <v>7</v>
      </c>
      <c r="C255" s="26">
        <f t="shared" si="65"/>
        <v>9</v>
      </c>
      <c r="D255" s="26">
        <f t="shared" si="66"/>
        <v>1</v>
      </c>
      <c r="E255" s="26">
        <f t="shared" si="67"/>
        <v>23</v>
      </c>
      <c r="F255" s="26">
        <f t="shared" si="68"/>
        <v>55</v>
      </c>
      <c r="G255" s="29">
        <f t="shared" si="69"/>
        <v>45139</v>
      </c>
      <c r="H255" s="26">
        <f t="shared" si="70"/>
        <v>62</v>
      </c>
      <c r="I255" s="29">
        <f t="shared" si="71"/>
        <v>45323</v>
      </c>
      <c r="J255" s="33">
        <f t="shared" si="72"/>
        <v>381972.60026504472</v>
      </c>
      <c r="K255" s="33">
        <f t="shared" si="73"/>
        <v>167409.8501970768</v>
      </c>
      <c r="L255" s="19">
        <f t="shared" si="74"/>
        <v>1.6950741939674256</v>
      </c>
      <c r="M255" s="19">
        <f t="shared" si="75"/>
        <v>1.6950741939674256</v>
      </c>
      <c r="N255" s="33">
        <f t="shared" si="76"/>
        <v>283772.11688501743</v>
      </c>
      <c r="O255" s="33">
        <f t="shared" si="77"/>
        <v>372920.75434903428</v>
      </c>
      <c r="P255" s="35">
        <f t="shared" si="78"/>
        <v>0.56172288252897262</v>
      </c>
      <c r="Q255" s="35">
        <f t="shared" si="79"/>
        <v>0.2570877683684315</v>
      </c>
      <c r="R255" s="35">
        <f t="shared" si="80"/>
        <v>2.3697631478617857E-2</v>
      </c>
      <c r="S255" s="35">
        <f t="shared" si="81"/>
        <v>-0.56172288252897262</v>
      </c>
      <c r="T255" s="35">
        <f t="shared" si="82"/>
        <v>-0.2570877683684315</v>
      </c>
      <c r="U255" s="35">
        <f t="shared" si="83"/>
        <v>-2.3697631478617809E-2</v>
      </c>
    </row>
    <row r="256" spans="1:21" x14ac:dyDescent="0.25">
      <c r="A256" s="37">
        <f t="shared" si="63"/>
        <v>31</v>
      </c>
      <c r="B256" s="37">
        <f t="shared" si="64"/>
        <v>8</v>
      </c>
      <c r="C256" s="37">
        <f t="shared" si="65"/>
        <v>9</v>
      </c>
      <c r="D256" s="37">
        <f t="shared" si="66"/>
        <v>1</v>
      </c>
      <c r="E256" s="37">
        <f t="shared" si="67"/>
        <v>23</v>
      </c>
      <c r="F256" s="37">
        <f t="shared" si="68"/>
        <v>55</v>
      </c>
      <c r="G256" s="38">
        <f t="shared" si="69"/>
        <v>45139</v>
      </c>
      <c r="H256" s="37">
        <f t="shared" si="70"/>
        <v>63</v>
      </c>
      <c r="I256" s="38">
        <f t="shared" si="71"/>
        <v>45352</v>
      </c>
      <c r="J256" s="39">
        <f t="shared" si="72"/>
        <v>441334.21046054357</v>
      </c>
      <c r="K256" s="39">
        <f t="shared" si="73"/>
        <v>184777.90021240711</v>
      </c>
      <c r="L256" s="40">
        <f t="shared" si="74"/>
        <v>1.6950741939674256</v>
      </c>
      <c r="M256" s="40">
        <f t="shared" si="75"/>
        <v>1.6950741939674256</v>
      </c>
      <c r="N256" s="39">
        <f t="shared" si="76"/>
        <v>313212.25026553939</v>
      </c>
      <c r="O256" s="39">
        <f t="shared" si="77"/>
        <v>505273.91535016452</v>
      </c>
      <c r="P256" s="41">
        <f t="shared" si="78"/>
        <v>0.58131978932794126</v>
      </c>
      <c r="Q256" s="41">
        <f t="shared" si="79"/>
        <v>0.29030597936494801</v>
      </c>
      <c r="R256" s="41">
        <f t="shared" si="80"/>
        <v>0.14487819746150707</v>
      </c>
      <c r="S256" s="41">
        <f t="shared" si="81"/>
        <v>-0.58131978932794115</v>
      </c>
      <c r="T256" s="41">
        <f t="shared" si="82"/>
        <v>-0.29030597936494795</v>
      </c>
      <c r="U256" s="41">
        <f t="shared" si="83"/>
        <v>0.14487819746150699</v>
      </c>
    </row>
    <row r="257" spans="1:21" x14ac:dyDescent="0.25">
      <c r="A257" s="26">
        <f t="shared" si="63"/>
        <v>32</v>
      </c>
      <c r="B257" s="26">
        <f t="shared" si="64"/>
        <v>1</v>
      </c>
      <c r="C257" s="26">
        <f t="shared" si="65"/>
        <v>8</v>
      </c>
      <c r="D257" s="26">
        <f t="shared" si="66"/>
        <v>1</v>
      </c>
      <c r="E257" s="26">
        <f t="shared" si="67"/>
        <v>24</v>
      </c>
      <c r="F257" s="26">
        <f t="shared" si="68"/>
        <v>56</v>
      </c>
      <c r="G257" s="29">
        <f t="shared" si="69"/>
        <v>45170</v>
      </c>
      <c r="H257" s="26">
        <f t="shared" si="70"/>
        <v>57</v>
      </c>
      <c r="I257" s="29">
        <f t="shared" si="71"/>
        <v>45170</v>
      </c>
      <c r="J257" s="33">
        <f t="shared" si="72"/>
        <v>261138.52030706409</v>
      </c>
      <c r="K257" s="33">
        <f t="shared" si="73"/>
        <v>137519.58025622371</v>
      </c>
      <c r="L257" s="19">
        <f t="shared" si="74"/>
        <v>1.7258604225695033</v>
      </c>
      <c r="M257" s="19">
        <f t="shared" si="75"/>
        <v>1.7258604225695033</v>
      </c>
      <c r="N257" s="33">
        <f t="shared" si="76"/>
        <v>237339.60089258698</v>
      </c>
      <c r="O257" s="33">
        <f t="shared" si="77"/>
        <v>247168.28464112661</v>
      </c>
      <c r="P257" s="35">
        <f t="shared" si="78"/>
        <v>0.47338454665930169</v>
      </c>
      <c r="Q257" s="35">
        <f t="shared" si="79"/>
        <v>9.1135231165791808E-2</v>
      </c>
      <c r="R257" s="35">
        <f t="shared" si="80"/>
        <v>5.3497414512077131E-2</v>
      </c>
      <c r="S257" s="35">
        <f t="shared" si="81"/>
        <v>-0.47338454665930163</v>
      </c>
      <c r="T257" s="35">
        <f t="shared" si="82"/>
        <v>-9.1135231165791808E-2</v>
      </c>
      <c r="U257" s="35">
        <f t="shared" si="83"/>
        <v>-5.3497414512077124E-2</v>
      </c>
    </row>
    <row r="258" spans="1:21" x14ac:dyDescent="0.25">
      <c r="A258" s="26">
        <f t="shared" si="63"/>
        <v>32</v>
      </c>
      <c r="B258" s="26">
        <f t="shared" si="64"/>
        <v>2</v>
      </c>
      <c r="C258" s="26">
        <f t="shared" si="65"/>
        <v>8</v>
      </c>
      <c r="D258" s="26">
        <f t="shared" si="66"/>
        <v>1</v>
      </c>
      <c r="E258" s="26">
        <f t="shared" si="67"/>
        <v>24</v>
      </c>
      <c r="F258" s="26">
        <f t="shared" si="68"/>
        <v>56</v>
      </c>
      <c r="G258" s="29">
        <f t="shared" si="69"/>
        <v>45170</v>
      </c>
      <c r="H258" s="26">
        <f t="shared" si="70"/>
        <v>58</v>
      </c>
      <c r="I258" s="29">
        <f t="shared" si="71"/>
        <v>45200</v>
      </c>
      <c r="J258" s="33">
        <f t="shared" si="72"/>
        <v>279981.62028169632</v>
      </c>
      <c r="K258" s="33">
        <f t="shared" si="73"/>
        <v>152485.03018927571</v>
      </c>
      <c r="L258" s="19">
        <f t="shared" si="74"/>
        <v>1.7258604225695033</v>
      </c>
      <c r="M258" s="19">
        <f t="shared" si="75"/>
        <v>1.7258604225695033</v>
      </c>
      <c r="N258" s="33">
        <f t="shared" si="76"/>
        <v>263167.87863798684</v>
      </c>
      <c r="O258" s="33">
        <f t="shared" si="77"/>
        <v>285815.1418645879</v>
      </c>
      <c r="P258" s="35">
        <f t="shared" si="78"/>
        <v>0.45537485626429042</v>
      </c>
      <c r="Q258" s="35">
        <f t="shared" si="79"/>
        <v>6.0053019290311864E-2</v>
      </c>
      <c r="R258" s="35">
        <f t="shared" si="80"/>
        <v>2.0835373325657356E-2</v>
      </c>
      <c r="S258" s="35">
        <f t="shared" si="81"/>
        <v>-0.45537485626429042</v>
      </c>
      <c r="T258" s="35">
        <f t="shared" si="82"/>
        <v>-6.0053019290311815E-2</v>
      </c>
      <c r="U258" s="35">
        <f t="shared" si="83"/>
        <v>2.0835373325657436E-2</v>
      </c>
    </row>
    <row r="259" spans="1:21" x14ac:dyDescent="0.25">
      <c r="A259" s="26">
        <f t="shared" si="63"/>
        <v>32</v>
      </c>
      <c r="B259" s="26">
        <f t="shared" si="64"/>
        <v>3</v>
      </c>
      <c r="C259" s="26">
        <f t="shared" si="65"/>
        <v>8</v>
      </c>
      <c r="D259" s="26">
        <f t="shared" si="66"/>
        <v>1</v>
      </c>
      <c r="E259" s="26">
        <f t="shared" si="67"/>
        <v>24</v>
      </c>
      <c r="F259" s="26">
        <f t="shared" si="68"/>
        <v>56</v>
      </c>
      <c r="G259" s="29">
        <f t="shared" si="69"/>
        <v>45170</v>
      </c>
      <c r="H259" s="26">
        <f t="shared" si="70"/>
        <v>59</v>
      </c>
      <c r="I259" s="29">
        <f t="shared" si="71"/>
        <v>45231</v>
      </c>
      <c r="J259" s="33">
        <f t="shared" si="72"/>
        <v>298467.6802778244</v>
      </c>
      <c r="K259" s="33">
        <f t="shared" si="73"/>
        <v>155504.0401403904</v>
      </c>
      <c r="L259" s="19">
        <f t="shared" si="74"/>
        <v>1.7258604225695033</v>
      </c>
      <c r="M259" s="19">
        <f t="shared" si="75"/>
        <v>1.7258604225695033</v>
      </c>
      <c r="N259" s="33">
        <f t="shared" si="76"/>
        <v>268378.26842795918</v>
      </c>
      <c r="O259" s="33">
        <f t="shared" si="77"/>
        <v>313887.29476609977</v>
      </c>
      <c r="P259" s="35">
        <f t="shared" si="78"/>
        <v>0.47899203024045461</v>
      </c>
      <c r="Q259" s="35">
        <f t="shared" si="79"/>
        <v>0.10081296514871199</v>
      </c>
      <c r="R259" s="35">
        <f t="shared" si="80"/>
        <v>5.1662593664822412E-2</v>
      </c>
      <c r="S259" s="35">
        <f t="shared" si="81"/>
        <v>-0.47899203024045467</v>
      </c>
      <c r="T259" s="35">
        <f t="shared" si="82"/>
        <v>-0.10081296514871196</v>
      </c>
      <c r="U259" s="35">
        <f t="shared" si="83"/>
        <v>5.1662593664822509E-2</v>
      </c>
    </row>
    <row r="260" spans="1:21" x14ac:dyDescent="0.25">
      <c r="A260" s="26">
        <f t="shared" si="63"/>
        <v>32</v>
      </c>
      <c r="B260" s="26">
        <f t="shared" si="64"/>
        <v>4</v>
      </c>
      <c r="C260" s="26">
        <f t="shared" si="65"/>
        <v>8</v>
      </c>
      <c r="D260" s="26">
        <f t="shared" si="66"/>
        <v>1</v>
      </c>
      <c r="E260" s="26">
        <f t="shared" si="67"/>
        <v>24</v>
      </c>
      <c r="F260" s="26">
        <f t="shared" si="68"/>
        <v>56</v>
      </c>
      <c r="G260" s="29">
        <f t="shared" si="69"/>
        <v>45170</v>
      </c>
      <c r="H260" s="26">
        <f t="shared" si="70"/>
        <v>60</v>
      </c>
      <c r="I260" s="29">
        <f t="shared" si="71"/>
        <v>45261</v>
      </c>
      <c r="J260" s="33">
        <f t="shared" si="72"/>
        <v>326301.66045475012</v>
      </c>
      <c r="K260" s="33">
        <f t="shared" si="73"/>
        <v>160734.2702050395</v>
      </c>
      <c r="L260" s="19">
        <f t="shared" si="74"/>
        <v>1.7258604225695033</v>
      </c>
      <c r="M260" s="19">
        <f t="shared" si="75"/>
        <v>1.7258604225695033</v>
      </c>
      <c r="N260" s="33">
        <f t="shared" si="76"/>
        <v>277404.91549747018</v>
      </c>
      <c r="O260" s="33">
        <f t="shared" si="77"/>
        <v>333921.42350041261</v>
      </c>
      <c r="P260" s="35">
        <f t="shared" si="78"/>
        <v>0.50740590783071016</v>
      </c>
      <c r="Q260" s="35">
        <f t="shared" si="79"/>
        <v>0.1498513519334686</v>
      </c>
      <c r="R260" s="35">
        <f t="shared" si="80"/>
        <v>2.3351897857470941E-2</v>
      </c>
      <c r="S260" s="35">
        <f t="shared" si="81"/>
        <v>-0.50740590783071016</v>
      </c>
      <c r="T260" s="35">
        <f t="shared" si="82"/>
        <v>-0.14985135193346866</v>
      </c>
      <c r="U260" s="35">
        <f t="shared" si="83"/>
        <v>2.3351897857470938E-2</v>
      </c>
    </row>
    <row r="261" spans="1:21" x14ac:dyDescent="0.25">
      <c r="A261" s="26">
        <f t="shared" si="63"/>
        <v>32</v>
      </c>
      <c r="B261" s="26">
        <f t="shared" si="64"/>
        <v>5</v>
      </c>
      <c r="C261" s="26">
        <f t="shared" si="65"/>
        <v>8</v>
      </c>
      <c r="D261" s="26">
        <f t="shared" si="66"/>
        <v>1</v>
      </c>
      <c r="E261" s="26">
        <f t="shared" si="67"/>
        <v>24</v>
      </c>
      <c r="F261" s="26">
        <f t="shared" si="68"/>
        <v>56</v>
      </c>
      <c r="G261" s="29">
        <f t="shared" si="69"/>
        <v>45170</v>
      </c>
      <c r="H261" s="26">
        <f t="shared" si="70"/>
        <v>61</v>
      </c>
      <c r="I261" s="29">
        <f t="shared" si="71"/>
        <v>45292</v>
      </c>
      <c r="J261" s="33">
        <f t="shared" si="72"/>
        <v>348737.74029840901</v>
      </c>
      <c r="K261" s="33">
        <f t="shared" si="73"/>
        <v>188680.17009925839</v>
      </c>
      <c r="L261" s="19">
        <f t="shared" si="74"/>
        <v>1.7258604225695033</v>
      </c>
      <c r="M261" s="19">
        <f t="shared" si="75"/>
        <v>1.7258604225695033</v>
      </c>
      <c r="N261" s="33">
        <f t="shared" si="76"/>
        <v>325635.63809799188</v>
      </c>
      <c r="O261" s="33">
        <f t="shared" si="77"/>
        <v>415827.73565690097</v>
      </c>
      <c r="P261" s="35">
        <f t="shared" si="78"/>
        <v>0.45896257188049694</v>
      </c>
      <c r="Q261" s="35">
        <f t="shared" si="79"/>
        <v>6.6244915679757113E-2</v>
      </c>
      <c r="R261" s="35">
        <f t="shared" si="80"/>
        <v>0.19237950931575165</v>
      </c>
      <c r="S261" s="35">
        <f t="shared" si="81"/>
        <v>-0.45896257188049694</v>
      </c>
      <c r="T261" s="35">
        <f t="shared" si="82"/>
        <v>-6.6244915679757099E-2</v>
      </c>
      <c r="U261" s="35">
        <f t="shared" si="83"/>
        <v>0.19237950931575165</v>
      </c>
    </row>
    <row r="262" spans="1:21" x14ac:dyDescent="0.25">
      <c r="A262" s="26">
        <f t="shared" si="63"/>
        <v>32</v>
      </c>
      <c r="B262" s="26">
        <f t="shared" si="64"/>
        <v>6</v>
      </c>
      <c r="C262" s="26">
        <f t="shared" si="65"/>
        <v>8</v>
      </c>
      <c r="D262" s="26">
        <f t="shared" si="66"/>
        <v>1</v>
      </c>
      <c r="E262" s="26">
        <f t="shared" si="67"/>
        <v>24</v>
      </c>
      <c r="F262" s="26">
        <f t="shared" si="68"/>
        <v>56</v>
      </c>
      <c r="G262" s="29">
        <f t="shared" si="69"/>
        <v>45170</v>
      </c>
      <c r="H262" s="26">
        <f t="shared" si="70"/>
        <v>62</v>
      </c>
      <c r="I262" s="29">
        <f t="shared" si="71"/>
        <v>45323</v>
      </c>
      <c r="J262" s="33">
        <f t="shared" si="72"/>
        <v>381972.60026504472</v>
      </c>
      <c r="K262" s="33">
        <f t="shared" si="73"/>
        <v>167409.8501970768</v>
      </c>
      <c r="L262" s="19">
        <f t="shared" si="74"/>
        <v>1.7258604225695033</v>
      </c>
      <c r="M262" s="19">
        <f t="shared" si="75"/>
        <v>1.7258604225695033</v>
      </c>
      <c r="N262" s="33">
        <f t="shared" si="76"/>
        <v>288926.03480342421</v>
      </c>
      <c r="O262" s="33">
        <f t="shared" si="77"/>
        <v>395880.78372154542</v>
      </c>
      <c r="P262" s="35">
        <f t="shared" si="78"/>
        <v>0.56172288252897262</v>
      </c>
      <c r="Q262" s="35">
        <f t="shared" si="79"/>
        <v>0.24359486883890882</v>
      </c>
      <c r="R262" s="35">
        <f t="shared" si="80"/>
        <v>3.6411468903397873E-2</v>
      </c>
      <c r="S262" s="35">
        <f t="shared" si="81"/>
        <v>-0.56172288252897262</v>
      </c>
      <c r="T262" s="35">
        <f t="shared" si="82"/>
        <v>-0.2435948688389088</v>
      </c>
      <c r="U262" s="35">
        <f t="shared" si="83"/>
        <v>3.6411468903397859E-2</v>
      </c>
    </row>
    <row r="263" spans="1:21" x14ac:dyDescent="0.25">
      <c r="A263" s="26">
        <f t="shared" si="63"/>
        <v>32</v>
      </c>
      <c r="B263" s="26">
        <f t="shared" si="64"/>
        <v>7</v>
      </c>
      <c r="C263" s="26">
        <f t="shared" si="65"/>
        <v>8</v>
      </c>
      <c r="D263" s="26">
        <f t="shared" si="66"/>
        <v>1</v>
      </c>
      <c r="E263" s="26">
        <f t="shared" si="67"/>
        <v>24</v>
      </c>
      <c r="F263" s="26">
        <f t="shared" si="68"/>
        <v>56</v>
      </c>
      <c r="G263" s="29">
        <f t="shared" si="69"/>
        <v>45170</v>
      </c>
      <c r="H263" s="26">
        <f t="shared" si="70"/>
        <v>63</v>
      </c>
      <c r="I263" s="29">
        <f t="shared" si="71"/>
        <v>45352</v>
      </c>
      <c r="J263" s="33">
        <f t="shared" si="72"/>
        <v>441334.21046054357</v>
      </c>
      <c r="K263" s="33">
        <f t="shared" si="73"/>
        <v>184777.90021240711</v>
      </c>
      <c r="L263" s="19">
        <f t="shared" si="74"/>
        <v>1.7258604225695033</v>
      </c>
      <c r="M263" s="19">
        <f t="shared" si="75"/>
        <v>1.7258604225695033</v>
      </c>
      <c r="N263" s="33">
        <f t="shared" si="76"/>
        <v>318900.86494209047</v>
      </c>
      <c r="O263" s="33">
        <f t="shared" si="77"/>
        <v>540121.06186953187</v>
      </c>
      <c r="P263" s="35">
        <f t="shared" si="78"/>
        <v>0.58131978932794126</v>
      </c>
      <c r="Q263" s="35">
        <f t="shared" si="79"/>
        <v>0.27741639468803192</v>
      </c>
      <c r="R263" s="35">
        <f t="shared" si="80"/>
        <v>0.22383683174232444</v>
      </c>
      <c r="S263" s="35">
        <f t="shared" si="81"/>
        <v>-0.58131978932794115</v>
      </c>
      <c r="T263" s="35">
        <f t="shared" si="82"/>
        <v>-0.27741639468803192</v>
      </c>
      <c r="U263" s="35">
        <f t="shared" si="83"/>
        <v>0.22383683174232449</v>
      </c>
    </row>
    <row r="264" spans="1:21" x14ac:dyDescent="0.25">
      <c r="A264" s="37">
        <f t="shared" si="63"/>
        <v>32</v>
      </c>
      <c r="B264" s="37">
        <f t="shared" si="64"/>
        <v>8</v>
      </c>
      <c r="C264" s="37">
        <f t="shared" si="65"/>
        <v>8</v>
      </c>
      <c r="D264" s="37">
        <f t="shared" si="66"/>
        <v>1</v>
      </c>
      <c r="E264" s="37">
        <f t="shared" si="67"/>
        <v>24</v>
      </c>
      <c r="F264" s="37">
        <f t="shared" si="68"/>
        <v>56</v>
      </c>
      <c r="G264" s="38">
        <f t="shared" si="69"/>
        <v>45170</v>
      </c>
      <c r="H264" s="37">
        <f t="shared" si="70"/>
        <v>64</v>
      </c>
      <c r="I264" s="38">
        <f t="shared" si="71"/>
        <v>45383</v>
      </c>
      <c r="J264" s="39">
        <f t="shared" si="72"/>
        <v>550157.88051688671</v>
      </c>
      <c r="K264" s="39">
        <f t="shared" si="73"/>
        <v>193149.96007275581</v>
      </c>
      <c r="L264" s="40">
        <f t="shared" si="74"/>
        <v>1.7258604225695033</v>
      </c>
      <c r="M264" s="40">
        <f t="shared" si="75"/>
        <v>1.7258604225695033</v>
      </c>
      <c r="N264" s="39">
        <f t="shared" si="76"/>
        <v>333349.87171044905</v>
      </c>
      <c r="O264" s="39">
        <f t="shared" si="77"/>
        <v>557020.58034660807</v>
      </c>
      <c r="P264" s="41">
        <f t="shared" si="78"/>
        <v>0.64891903413019059</v>
      </c>
      <c r="Q264" s="41">
        <f t="shared" si="79"/>
        <v>0.39408325588782128</v>
      </c>
      <c r="R264" s="41">
        <f t="shared" si="80"/>
        <v>1.2474055308039366E-2</v>
      </c>
      <c r="S264" s="41">
        <f t="shared" si="81"/>
        <v>-0.64891903413019048</v>
      </c>
      <c r="T264" s="41">
        <f t="shared" si="82"/>
        <v>-0.39408325588782123</v>
      </c>
      <c r="U264" s="41">
        <f t="shared" si="83"/>
        <v>1.2474055308039356E-2</v>
      </c>
    </row>
  </sheetData>
  <conditionalFormatting sqref="A9:U264">
    <cfRule type="expression" dxfId="3" priority="1">
      <formula>$D9=0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J62"/>
  <sheetViews>
    <sheetView showGridLines="0" workbookViewId="0"/>
  </sheetViews>
  <sheetFormatPr defaultRowHeight="15" x14ac:dyDescent="0.25"/>
  <cols>
    <col min="1" max="1" width="3" customWidth="1"/>
    <col min="2" max="2" width="24" customWidth="1"/>
    <col min="3" max="6" width="14" customWidth="1"/>
    <col min="7" max="7" width="12" customWidth="1"/>
    <col min="8" max="9" width="10" customWidth="1"/>
    <col min="10" max="10" width="8" customWidth="1"/>
  </cols>
  <sheetData>
    <row r="1" spans="1:10" ht="18" x14ac:dyDescent="0.25">
      <c r="A1" s="13" t="s">
        <v>227</v>
      </c>
    </row>
    <row r="2" spans="1:10" x14ac:dyDescent="0.25">
      <c r="A2" s="14" t="s">
        <v>228</v>
      </c>
    </row>
    <row r="3" spans="1:10" x14ac:dyDescent="0.25">
      <c r="A3" s="14" t="s">
        <v>229</v>
      </c>
    </row>
    <row r="5" spans="1:10" ht="32.1" customHeight="1" x14ac:dyDescent="0.25">
      <c r="B5" s="4" t="s">
        <v>230</v>
      </c>
      <c r="C5" s="4" t="s">
        <v>231</v>
      </c>
      <c r="D5" s="4" t="s">
        <v>232</v>
      </c>
      <c r="E5" s="4" t="s">
        <v>233</v>
      </c>
      <c r="F5" s="4" t="s">
        <v>234</v>
      </c>
      <c r="G5" s="4" t="s">
        <v>235</v>
      </c>
      <c r="H5" s="4" t="s">
        <v>236</v>
      </c>
      <c r="I5" s="4" t="s">
        <v>237</v>
      </c>
      <c r="J5" s="4" t="s">
        <v>238</v>
      </c>
    </row>
    <row r="6" spans="1:10" x14ac:dyDescent="0.25">
      <c r="B6" s="22" t="s">
        <v>239</v>
      </c>
      <c r="C6" s="42">
        <f>AVERAGEIFS(Backtest!$P$9:$P$264,Backtest!$D$9:$D$264,1)</f>
        <v>0.42418044562006435</v>
      </c>
      <c r="D6" s="35">
        <f>AVERAGEIFS(Backtest!$P$9:$P$264,Backtest!$D$9:$D$264,1,Backtest!$B$9:$B$264,1)</f>
        <v>0.41659902421691103</v>
      </c>
      <c r="E6" s="35">
        <f>AVERAGEIFS(Backtest!$P$9:$P$264,Backtest!$D$9:$D$264,1,Backtest!$B$9:$B$264,Horizon)</f>
        <v>0.44208002340018981</v>
      </c>
      <c r="F6" s="35">
        <f>_xlfn.MAXIFS(Backtest!$P$9:$P$264,Backtest!$D$9:$D$264,1)</f>
        <v>0.64891903413019059</v>
      </c>
      <c r="G6" s="35">
        <f>AVERAGEIFS(Backtest!$S$9:$S$264,Backtest!$D$9:$D$264,1)</f>
        <v>-0.42418044562006435</v>
      </c>
      <c r="H6" s="26">
        <f>TestsUsed</f>
        <v>24</v>
      </c>
      <c r="I6" s="26">
        <f>SUM(Backtest!$D$9:$D$264)</f>
        <v>192</v>
      </c>
      <c r="J6" s="26">
        <f>RANK(C6,$C$6:$C$8,1)</f>
        <v>3</v>
      </c>
    </row>
    <row r="7" spans="1:10" x14ac:dyDescent="0.25">
      <c r="B7" s="22" t="s">
        <v>240</v>
      </c>
      <c r="C7" s="42">
        <f>AVERAGEIFS(Backtest!$Q$9:$Q$264,Backtest!$D$9:$D$264,1)</f>
        <v>8.0024478398840707E-2</v>
      </c>
      <c r="D7" s="35">
        <f>AVERAGEIFS(Backtest!$Q$9:$Q$264,Backtest!$D$9:$D$264,1,Backtest!$B$9:$B$264,1)</f>
        <v>6.4570075766075596E-2</v>
      </c>
      <c r="E7" s="35">
        <f>AVERAGEIFS(Backtest!$Q$9:$Q$264,Backtest!$D$9:$D$264,1,Backtest!$B$9:$B$264,Horizon)</f>
        <v>0.11529421225514012</v>
      </c>
      <c r="F7" s="35">
        <f>_xlfn.MAXIFS(Backtest!$Q$9:$Q$264,Backtest!$D$9:$D$264,1)</f>
        <v>0.39408325588782128</v>
      </c>
      <c r="G7" s="35">
        <f>AVERAGEIFS(Backtest!$T$9:$T$264,Backtest!$D$9:$D$264,1)</f>
        <v>-7.1072276713293912E-3</v>
      </c>
      <c r="H7" s="26">
        <f>TestsUsed</f>
        <v>24</v>
      </c>
      <c r="I7" s="26">
        <f>SUM(Backtest!$D$9:$D$264)</f>
        <v>192</v>
      </c>
      <c r="J7" s="26">
        <f>RANK(C7,$C$6:$C$8,1)</f>
        <v>1</v>
      </c>
    </row>
    <row r="8" spans="1:10" x14ac:dyDescent="0.25">
      <c r="B8" s="22" t="s">
        <v>241</v>
      </c>
      <c r="C8" s="42">
        <f>AVERAGEIFS(Backtest!$R$9:$R$264,Backtest!$D$9:$D$264,1)</f>
        <v>0.25975189087104561</v>
      </c>
      <c r="D8" s="35">
        <f>AVERAGEIFS(Backtest!$R$9:$R$264,Backtest!$D$9:$D$264,1,Backtest!$B$9:$B$264,1)</f>
        <v>8.2601101724953066E-2</v>
      </c>
      <c r="E8" s="35">
        <f>AVERAGEIFS(Backtest!$R$9:$R$264,Backtest!$D$9:$D$264,1,Backtest!$B$9:$B$264,Horizon)</f>
        <v>0.43512759230036013</v>
      </c>
      <c r="F8" s="35">
        <f>_xlfn.MAXIFS(Backtest!$R$9:$R$264,Backtest!$D$9:$D$264,1)</f>
        <v>1.6306427180374874</v>
      </c>
      <c r="G8" s="35">
        <f>AVERAGEIFS(Backtest!$U$9:$U$264,Backtest!$D$9:$D$264,1)</f>
        <v>8.2545313070048379E-2</v>
      </c>
      <c r="H8" s="26">
        <f>TestsUsed</f>
        <v>24</v>
      </c>
      <c r="I8" s="26">
        <f>SUM(Backtest!$D$9:$D$264)</f>
        <v>192</v>
      </c>
      <c r="J8" s="26">
        <f>RANK(C8,$C$6:$C$8,1)</f>
        <v>2</v>
      </c>
    </row>
    <row r="10" spans="1:10" x14ac:dyDescent="0.25">
      <c r="B10" s="22" t="s">
        <v>242</v>
      </c>
      <c r="C10" s="12" t="str">
        <f>INDEX($B$6:$B$8,MATCH(MIN($C$6:$C$8),$C$6:$C$8,0))</f>
        <v>seasonal_naive_drift</v>
      </c>
    </row>
    <row r="11" spans="1:10" x14ac:dyDescent="0.25">
      <c r="B11" s="22" t="s">
        <v>243</v>
      </c>
      <c r="C11" s="26">
        <f>COUNTIFS(Backtest!$L$9:$L$264,"&gt;"&amp;ClipHigh,Backtest!$D$9:$D$264,1)+COUNTIFS(Backtest!$L$9:$L$264,"&lt;"&amp;ClipLow,Backtest!$D$9:$D$264,1)</f>
        <v>0</v>
      </c>
      <c r="D11" s="21" t="s">
        <v>244</v>
      </c>
    </row>
    <row r="12" spans="1:10" x14ac:dyDescent="0.25">
      <c r="B12" s="22" t="s">
        <v>245</v>
      </c>
      <c r="C12" s="19">
        <f>_xlfn.MAXIFS(Backtest!$L$9:$L$264,Backtest!$D$9:$D$264,1)</f>
        <v>1.9939602345925489</v>
      </c>
    </row>
    <row r="14" spans="1:10" x14ac:dyDescent="0.25">
      <c r="B14" s="3" t="s">
        <v>246</v>
      </c>
    </row>
    <row r="15" spans="1:10" ht="20.100000000000001" customHeight="1" x14ac:dyDescent="0.25">
      <c r="B15" s="4" t="s">
        <v>247</v>
      </c>
      <c r="C15" s="4" t="s">
        <v>239</v>
      </c>
      <c r="D15" s="4" t="s">
        <v>240</v>
      </c>
      <c r="E15" s="4" t="s">
        <v>241</v>
      </c>
    </row>
    <row r="16" spans="1:10" x14ac:dyDescent="0.25">
      <c r="B16" s="26">
        <f t="shared" ref="B16:B23" si="0">ROW()-ROW($B$15)</f>
        <v>1</v>
      </c>
      <c r="C16" s="35">
        <f>AVERAGEIFS(Backtest!$P$9:$P$264,Backtest!$D$9:$D$264,1,Backtest!$B$9:$B$264,$B16)</f>
        <v>0.41659902421691103</v>
      </c>
      <c r="D16" s="35">
        <f>AVERAGEIFS(Backtest!$Q$9:$Q$264,Backtest!$D$9:$D$264,1,Backtest!$B$9:$B$264,$B16)</f>
        <v>6.4570075766075596E-2</v>
      </c>
      <c r="E16" s="35">
        <f>AVERAGEIFS(Backtest!$R$9:$R$264,Backtest!$D$9:$D$264,1,Backtest!$B$9:$B$264,$B16)</f>
        <v>8.2601101724953066E-2</v>
      </c>
    </row>
    <row r="17" spans="2:9" x14ac:dyDescent="0.25">
      <c r="B17" s="26">
        <f t="shared" si="0"/>
        <v>2</v>
      </c>
      <c r="C17" s="35">
        <f>AVERAGEIFS(Backtest!$P$9:$P$264,Backtest!$D$9:$D$264,1,Backtest!$B$9:$B$264,$B17)</f>
        <v>0.41636913091915323</v>
      </c>
      <c r="D17" s="35">
        <f>AVERAGEIFS(Backtest!$Q$9:$Q$264,Backtest!$D$9:$D$264,1,Backtest!$B$9:$B$264,$B17)</f>
        <v>6.5695992265419653E-2</v>
      </c>
      <c r="E17" s="35">
        <f>AVERAGEIFS(Backtest!$R$9:$R$264,Backtest!$D$9:$D$264,1,Backtest!$B$9:$B$264,$B17)</f>
        <v>0.13481126442768507</v>
      </c>
    </row>
    <row r="18" spans="2:9" x14ac:dyDescent="0.25">
      <c r="B18" s="26">
        <f t="shared" si="0"/>
        <v>3</v>
      </c>
      <c r="C18" s="35">
        <f>AVERAGEIFS(Backtest!$P$9:$P$264,Backtest!$D$9:$D$264,1,Backtest!$B$9:$B$264,$B18)</f>
        <v>0.41886936212547549</v>
      </c>
      <c r="D18" s="35">
        <f>AVERAGEIFS(Backtest!$Q$9:$Q$264,Backtest!$D$9:$D$264,1,Backtest!$B$9:$B$264,$B18)</f>
        <v>5.8963696892174546E-2</v>
      </c>
      <c r="E18" s="35">
        <f>AVERAGEIFS(Backtest!$R$9:$R$264,Backtest!$D$9:$D$264,1,Backtest!$B$9:$B$264,$B18)</f>
        <v>0.17547590187708406</v>
      </c>
    </row>
    <row r="19" spans="2:9" x14ac:dyDescent="0.25">
      <c r="B19" s="26">
        <f t="shared" si="0"/>
        <v>4</v>
      </c>
      <c r="C19" s="35">
        <f>AVERAGEIFS(Backtest!$P$9:$P$264,Backtest!$D$9:$D$264,1,Backtest!$B$9:$B$264,$B19)</f>
        <v>0.42088305968351736</v>
      </c>
      <c r="D19" s="35">
        <f>AVERAGEIFS(Backtest!$Q$9:$Q$264,Backtest!$D$9:$D$264,1,Backtest!$B$9:$B$264,$B19)</f>
        <v>7.890936458737853E-2</v>
      </c>
      <c r="E19" s="35">
        <f>AVERAGEIFS(Backtest!$R$9:$R$264,Backtest!$D$9:$D$264,1,Backtest!$B$9:$B$264,$B19)</f>
        <v>0.22306176517455412</v>
      </c>
    </row>
    <row r="20" spans="2:9" x14ac:dyDescent="0.25">
      <c r="B20" s="26">
        <f t="shared" si="0"/>
        <v>5</v>
      </c>
      <c r="C20" s="35">
        <f>AVERAGEIFS(Backtest!$P$9:$P$264,Backtest!$D$9:$D$264,1,Backtest!$B$9:$B$264,$B20)</f>
        <v>0.42104539402794733</v>
      </c>
      <c r="D20" s="35">
        <f>AVERAGEIFS(Backtest!$Q$9:$Q$264,Backtest!$D$9:$D$264,1,Backtest!$B$9:$B$264,$B20)</f>
        <v>7.2840692453365066E-2</v>
      </c>
      <c r="E20" s="35">
        <f>AVERAGEIFS(Backtest!$R$9:$R$264,Backtest!$D$9:$D$264,1,Backtest!$B$9:$B$264,$B20)</f>
        <v>0.29018289219148546</v>
      </c>
    </row>
    <row r="21" spans="2:9" x14ac:dyDescent="0.25">
      <c r="B21" s="26">
        <f t="shared" si="0"/>
        <v>6</v>
      </c>
      <c r="C21" s="35">
        <f>AVERAGEIFS(Backtest!$P$9:$P$264,Backtest!$D$9:$D$264,1,Backtest!$B$9:$B$264,$B21)</f>
        <v>0.42687150602425961</v>
      </c>
      <c r="D21" s="35">
        <f>AVERAGEIFS(Backtest!$Q$9:$Q$264,Backtest!$D$9:$D$264,1,Backtest!$B$9:$B$264,$B21)</f>
        <v>8.0449102377536733E-2</v>
      </c>
      <c r="E21" s="35">
        <f>AVERAGEIFS(Backtest!$R$9:$R$264,Backtest!$D$9:$D$264,1,Backtest!$B$9:$B$264,$B21)</f>
        <v>0.34702435327736381</v>
      </c>
    </row>
    <row r="22" spans="2:9" x14ac:dyDescent="0.25">
      <c r="B22" s="26">
        <f t="shared" si="0"/>
        <v>7</v>
      </c>
      <c r="C22" s="35">
        <f>AVERAGEIFS(Backtest!$P$9:$P$264,Backtest!$D$9:$D$264,1,Backtest!$B$9:$B$264,$B22)</f>
        <v>0.430726064563064</v>
      </c>
      <c r="D22" s="35">
        <f>AVERAGEIFS(Backtest!$Q$9:$Q$264,Backtest!$D$9:$D$264,1,Backtest!$B$9:$B$264,$B22)</f>
        <v>0.10347269059363533</v>
      </c>
      <c r="E22" s="35">
        <f>AVERAGEIFS(Backtest!$R$9:$R$264,Backtest!$D$9:$D$264,1,Backtest!$B$9:$B$264,$B22)</f>
        <v>0.38973025599488054</v>
      </c>
    </row>
    <row r="23" spans="2:9" x14ac:dyDescent="0.25">
      <c r="B23" s="26">
        <f t="shared" si="0"/>
        <v>8</v>
      </c>
      <c r="C23" s="35">
        <f>AVERAGEIFS(Backtest!$P$9:$P$264,Backtest!$D$9:$D$264,1,Backtest!$B$9:$B$264,$B23)</f>
        <v>0.44208002340018981</v>
      </c>
      <c r="D23" s="35">
        <f>AVERAGEIFS(Backtest!$Q$9:$Q$264,Backtest!$D$9:$D$264,1,Backtest!$B$9:$B$264,$B23)</f>
        <v>0.11529421225514012</v>
      </c>
      <c r="E23" s="35">
        <f>AVERAGEIFS(Backtest!$R$9:$R$264,Backtest!$D$9:$D$264,1,Backtest!$B$9:$B$264,$B23)</f>
        <v>0.43512759230036013</v>
      </c>
    </row>
    <row r="24" spans="2:9" x14ac:dyDescent="0.25">
      <c r="B24" s="21" t="s">
        <v>248</v>
      </c>
    </row>
    <row r="27" spans="2:9" x14ac:dyDescent="0.25">
      <c r="B27" s="3" t="s">
        <v>249</v>
      </c>
    </row>
    <row r="28" spans="2:9" ht="32.1" customHeight="1" x14ac:dyDescent="0.25">
      <c r="B28" s="4" t="s">
        <v>213</v>
      </c>
      <c r="C28" s="4" t="s">
        <v>250</v>
      </c>
      <c r="D28" s="4" t="s">
        <v>218</v>
      </c>
      <c r="E28" s="4" t="s">
        <v>217</v>
      </c>
      <c r="F28" s="4" t="s">
        <v>239</v>
      </c>
      <c r="G28" s="4" t="s">
        <v>240</v>
      </c>
      <c r="H28" s="4" t="s">
        <v>241</v>
      </c>
      <c r="I28" s="4" t="s">
        <v>251</v>
      </c>
    </row>
    <row r="29" spans="2:9" x14ac:dyDescent="0.25">
      <c r="B29" s="26">
        <f t="shared" ref="B29:B60" si="1">ROW()-ROW($B$28)</f>
        <v>1</v>
      </c>
      <c r="C29" s="26" t="str">
        <f>INDEX(Backtest!$E$9:$E$264,(B29-1)*Horizon+1)</f>
        <v/>
      </c>
      <c r="D29" s="29">
        <f>INDEX(Backtest!$G$9:$G$264,(B29-1)*Horizon+1)</f>
        <v>44228</v>
      </c>
      <c r="E29" s="26">
        <f>INDEX(Backtest!$F$9:$F$264,(B29-1)*Horizon+1)</f>
        <v>25</v>
      </c>
      <c r="F29" s="35">
        <f>AVERAGEIFS(Backtest!$P$9:$P$264,Backtest!$A$9:$A$264,$B29)</f>
        <v>0.48695031587396964</v>
      </c>
      <c r="G29" s="35">
        <f>AVERAGEIFS(Backtest!$Q$9:$Q$264,Backtest!$A$9:$A$264,$B29)</f>
        <v>0.10796355133043997</v>
      </c>
      <c r="H29" s="35">
        <f>AVERAGEIFS(Backtest!$R$9:$R$264,Backtest!$A$9:$A$264,$B29)</f>
        <v>1.8766435783816005</v>
      </c>
      <c r="I29" s="8" t="str">
        <f t="shared" ref="I29:I60" si="2">IF(G29&lt;=H29,"Drift","Holt-Winters")</f>
        <v>Drift</v>
      </c>
    </row>
    <row r="30" spans="2:9" x14ac:dyDescent="0.25">
      <c r="B30" s="26">
        <f t="shared" si="1"/>
        <v>2</v>
      </c>
      <c r="C30" s="26" t="str">
        <f>INDEX(Backtest!$E$9:$E$264,(B30-1)*Horizon+1)</f>
        <v/>
      </c>
      <c r="D30" s="29">
        <f>INDEX(Backtest!$G$9:$G$264,(B30-1)*Horizon+1)</f>
        <v>44256</v>
      </c>
      <c r="E30" s="26">
        <f>INDEX(Backtest!$F$9:$F$264,(B30-1)*Horizon+1)</f>
        <v>26</v>
      </c>
      <c r="F30" s="35">
        <f>AVERAGEIFS(Backtest!$P$9:$P$264,Backtest!$A$9:$A$264,$B30)</f>
        <v>0.47575469148138289</v>
      </c>
      <c r="G30" s="35">
        <f>AVERAGEIFS(Backtest!$Q$9:$Q$264,Backtest!$A$9:$A$264,$B30)</f>
        <v>0.16617464258596873</v>
      </c>
      <c r="H30" s="35">
        <f>AVERAGEIFS(Backtest!$R$9:$R$264,Backtest!$A$9:$A$264,$B30)</f>
        <v>1.345579774018449</v>
      </c>
      <c r="I30" s="8" t="str">
        <f t="shared" si="2"/>
        <v>Drift</v>
      </c>
    </row>
    <row r="31" spans="2:9" x14ac:dyDescent="0.25">
      <c r="B31" s="26">
        <f t="shared" si="1"/>
        <v>3</v>
      </c>
      <c r="C31" s="26" t="str">
        <f>INDEX(Backtest!$E$9:$E$264,(B31-1)*Horizon+1)</f>
        <v/>
      </c>
      <c r="D31" s="29">
        <f>INDEX(Backtest!$G$9:$G$264,(B31-1)*Horizon+1)</f>
        <v>44287</v>
      </c>
      <c r="E31" s="26">
        <f>INDEX(Backtest!$F$9:$F$264,(B31-1)*Horizon+1)</f>
        <v>27</v>
      </c>
      <c r="F31" s="35">
        <f>AVERAGEIFS(Backtest!$P$9:$P$264,Backtest!$A$9:$A$264,$B31)</f>
        <v>0.47241856943211546</v>
      </c>
      <c r="G31" s="35">
        <f>AVERAGEIFS(Backtest!$Q$9:$Q$264,Backtest!$A$9:$A$264,$B31)</f>
        <v>6.8981516336856161E-2</v>
      </c>
      <c r="H31" s="35">
        <f>AVERAGEIFS(Backtest!$R$9:$R$264,Backtest!$A$9:$A$264,$B31)</f>
        <v>0.29561627524810241</v>
      </c>
      <c r="I31" s="8" t="str">
        <f t="shared" si="2"/>
        <v>Drift</v>
      </c>
    </row>
    <row r="32" spans="2:9" x14ac:dyDescent="0.25">
      <c r="B32" s="26">
        <f t="shared" si="1"/>
        <v>4</v>
      </c>
      <c r="C32" s="26" t="str">
        <f>INDEX(Backtest!$E$9:$E$264,(B32-1)*Horizon+1)</f>
        <v/>
      </c>
      <c r="D32" s="29">
        <f>INDEX(Backtest!$G$9:$G$264,(B32-1)*Horizon+1)</f>
        <v>44317</v>
      </c>
      <c r="E32" s="26">
        <f>INDEX(Backtest!$F$9:$F$264,(B32-1)*Horizon+1)</f>
        <v>28</v>
      </c>
      <c r="F32" s="35">
        <f>AVERAGEIFS(Backtest!$P$9:$P$264,Backtest!$A$9:$A$264,$B32)</f>
        <v>0.46620146506899879</v>
      </c>
      <c r="G32" s="35">
        <f>AVERAGEIFS(Backtest!$Q$9:$Q$264,Backtest!$A$9:$A$264,$B32)</f>
        <v>9.0101716583724401E-2</v>
      </c>
      <c r="H32" s="35">
        <f>AVERAGEIFS(Backtest!$R$9:$R$264,Backtest!$A$9:$A$264,$B32)</f>
        <v>0.40933568008287979</v>
      </c>
      <c r="I32" s="8" t="str">
        <f t="shared" si="2"/>
        <v>Drift</v>
      </c>
    </row>
    <row r="33" spans="2:9" x14ac:dyDescent="0.25">
      <c r="B33" s="26">
        <f t="shared" si="1"/>
        <v>5</v>
      </c>
      <c r="C33" s="26" t="str">
        <f>INDEX(Backtest!$E$9:$E$264,(B33-1)*Horizon+1)</f>
        <v/>
      </c>
      <c r="D33" s="29">
        <f>INDEX(Backtest!$G$9:$G$264,(B33-1)*Horizon+1)</f>
        <v>44348</v>
      </c>
      <c r="E33" s="26">
        <f>INDEX(Backtest!$F$9:$F$264,(B33-1)*Horizon+1)</f>
        <v>29</v>
      </c>
      <c r="F33" s="35">
        <f>AVERAGEIFS(Backtest!$P$9:$P$264,Backtest!$A$9:$A$264,$B33)</f>
        <v>0.46011887418751696</v>
      </c>
      <c r="G33" s="35">
        <f>AVERAGEIFS(Backtest!$Q$9:$Q$264,Backtest!$A$9:$A$264,$B33)</f>
        <v>9.3747339194670085E-2</v>
      </c>
      <c r="H33" s="35">
        <f>AVERAGEIFS(Backtest!$R$9:$R$264,Backtest!$A$9:$A$264,$B33)</f>
        <v>0.3940781066098934</v>
      </c>
      <c r="I33" s="8" t="str">
        <f t="shared" si="2"/>
        <v>Drift</v>
      </c>
    </row>
    <row r="34" spans="2:9" x14ac:dyDescent="0.25">
      <c r="B34" s="26">
        <f t="shared" si="1"/>
        <v>6</v>
      </c>
      <c r="C34" s="26" t="str">
        <f>INDEX(Backtest!$E$9:$E$264,(B34-1)*Horizon+1)</f>
        <v/>
      </c>
      <c r="D34" s="29">
        <f>INDEX(Backtest!$G$9:$G$264,(B34-1)*Horizon+1)</f>
        <v>44378</v>
      </c>
      <c r="E34" s="26">
        <f>INDEX(Backtest!$F$9:$F$264,(B34-1)*Horizon+1)</f>
        <v>30</v>
      </c>
      <c r="F34" s="35">
        <f>AVERAGEIFS(Backtest!$P$9:$P$264,Backtest!$A$9:$A$264,$B34)</f>
        <v>0.44843206566323229</v>
      </c>
      <c r="G34" s="35">
        <f>AVERAGEIFS(Backtest!$Q$9:$Q$264,Backtest!$A$9:$A$264,$B34)</f>
        <v>0.13817025800002969</v>
      </c>
      <c r="H34" s="35">
        <f>AVERAGEIFS(Backtest!$R$9:$R$264,Backtest!$A$9:$A$264,$B34)</f>
        <v>0.36982031903560109</v>
      </c>
      <c r="I34" s="8" t="str">
        <f t="shared" si="2"/>
        <v>Drift</v>
      </c>
    </row>
    <row r="35" spans="2:9" x14ac:dyDescent="0.25">
      <c r="B35" s="26">
        <f t="shared" si="1"/>
        <v>7</v>
      </c>
      <c r="C35" s="26" t="str">
        <f>INDEX(Backtest!$E$9:$E$264,(B35-1)*Horizon+1)</f>
        <v/>
      </c>
      <c r="D35" s="29">
        <f>INDEX(Backtest!$G$9:$G$264,(B35-1)*Horizon+1)</f>
        <v>44409</v>
      </c>
      <c r="E35" s="26">
        <f>INDEX(Backtest!$F$9:$F$264,(B35-1)*Horizon+1)</f>
        <v>31</v>
      </c>
      <c r="F35" s="35">
        <f>AVERAGEIFS(Backtest!$P$9:$P$264,Backtest!$A$9:$A$264,$B35)</f>
        <v>0.4536998557428239</v>
      </c>
      <c r="G35" s="35">
        <f>AVERAGEIFS(Backtest!$Q$9:$Q$264,Backtest!$A$9:$A$264,$B35)</f>
        <v>4.5571376560889013E-2</v>
      </c>
      <c r="H35" s="35">
        <f>AVERAGEIFS(Backtest!$R$9:$R$264,Backtest!$A$9:$A$264,$B35)</f>
        <v>0.33962949750783267</v>
      </c>
      <c r="I35" s="8" t="str">
        <f t="shared" si="2"/>
        <v>Drift</v>
      </c>
    </row>
    <row r="36" spans="2:9" x14ac:dyDescent="0.25">
      <c r="B36" s="26">
        <f t="shared" si="1"/>
        <v>8</v>
      </c>
      <c r="C36" s="26" t="str">
        <f>INDEX(Backtest!$E$9:$E$264,(B36-1)*Horizon+1)</f>
        <v/>
      </c>
      <c r="D36" s="29">
        <f>INDEX(Backtest!$G$9:$G$264,(B36-1)*Horizon+1)</f>
        <v>44440</v>
      </c>
      <c r="E36" s="26">
        <f>INDEX(Backtest!$F$9:$F$264,(B36-1)*Horizon+1)</f>
        <v>32</v>
      </c>
      <c r="F36" s="35">
        <f>AVERAGEIFS(Backtest!$P$9:$P$264,Backtest!$A$9:$A$264,$B36)</f>
        <v>0.44745482209935239</v>
      </c>
      <c r="G36" s="35">
        <f>AVERAGEIFS(Backtest!$Q$9:$Q$264,Backtest!$A$9:$A$264,$B36)</f>
        <v>6.3687368136879377E-2</v>
      </c>
      <c r="H36" s="35">
        <f>AVERAGEIFS(Backtest!$R$9:$R$264,Backtest!$A$9:$A$264,$B36)</f>
        <v>0.4111653367404301</v>
      </c>
      <c r="I36" s="8" t="str">
        <f t="shared" si="2"/>
        <v>Drift</v>
      </c>
    </row>
    <row r="37" spans="2:9" x14ac:dyDescent="0.25">
      <c r="B37" s="26">
        <f t="shared" si="1"/>
        <v>9</v>
      </c>
      <c r="C37" s="26">
        <f>INDEX(Backtest!$E$9:$E$264,(B37-1)*Horizon+1)</f>
        <v>1</v>
      </c>
      <c r="D37" s="29">
        <f>INDEX(Backtest!$G$9:$G$264,(B37-1)*Horizon+1)</f>
        <v>44470</v>
      </c>
      <c r="E37" s="26">
        <f>INDEX(Backtest!$F$9:$F$264,(B37-1)*Horizon+1)</f>
        <v>33</v>
      </c>
      <c r="F37" s="35">
        <f>AVERAGEIFS(Backtest!$P$9:$P$264,Backtest!$A$9:$A$264,$B37)</f>
        <v>0.43283485111313902</v>
      </c>
      <c r="G37" s="35">
        <f>AVERAGEIFS(Backtest!$Q$9:$Q$264,Backtest!$A$9:$A$264,$B37)</f>
        <v>0.13090475332716325</v>
      </c>
      <c r="H37" s="35">
        <f>AVERAGEIFS(Backtest!$R$9:$R$264,Backtest!$A$9:$A$264,$B37)</f>
        <v>0.69159432791704556</v>
      </c>
      <c r="I37" s="8" t="str">
        <f t="shared" si="2"/>
        <v>Drift</v>
      </c>
    </row>
    <row r="38" spans="2:9" x14ac:dyDescent="0.25">
      <c r="B38" s="26">
        <f t="shared" si="1"/>
        <v>10</v>
      </c>
      <c r="C38" s="26">
        <f>INDEX(Backtest!$E$9:$E$264,(B38-1)*Horizon+1)</f>
        <v>2</v>
      </c>
      <c r="D38" s="29">
        <f>INDEX(Backtest!$G$9:$G$264,(B38-1)*Horizon+1)</f>
        <v>44501</v>
      </c>
      <c r="E38" s="26">
        <f>INDEX(Backtest!$F$9:$F$264,(B38-1)*Horizon+1)</f>
        <v>34</v>
      </c>
      <c r="F38" s="35">
        <f>AVERAGEIFS(Backtest!$P$9:$P$264,Backtest!$A$9:$A$264,$B38)</f>
        <v>0.43005697933076004</v>
      </c>
      <c r="G38" s="35">
        <f>AVERAGEIFS(Backtest!$Q$9:$Q$264,Backtest!$A$9:$A$264,$B38)</f>
        <v>7.0143383231831891E-2</v>
      </c>
      <c r="H38" s="35">
        <f>AVERAGEIFS(Backtest!$R$9:$R$264,Backtest!$A$9:$A$264,$B38)</f>
        <v>0.69412154438559903</v>
      </c>
      <c r="I38" s="8" t="str">
        <f t="shared" si="2"/>
        <v>Drift</v>
      </c>
    </row>
    <row r="39" spans="2:9" x14ac:dyDescent="0.25">
      <c r="B39" s="26">
        <f t="shared" si="1"/>
        <v>11</v>
      </c>
      <c r="C39" s="26">
        <f>INDEX(Backtest!$E$9:$E$264,(B39-1)*Horizon+1)</f>
        <v>3</v>
      </c>
      <c r="D39" s="29">
        <f>INDEX(Backtest!$G$9:$G$264,(B39-1)*Horizon+1)</f>
        <v>44531</v>
      </c>
      <c r="E39" s="26">
        <f>INDEX(Backtest!$F$9:$F$264,(B39-1)*Horizon+1)</f>
        <v>35</v>
      </c>
      <c r="F39" s="35">
        <f>AVERAGEIFS(Backtest!$P$9:$P$264,Backtest!$A$9:$A$264,$B39)</f>
        <v>0.42984901773761608</v>
      </c>
      <c r="G39" s="35">
        <f>AVERAGEIFS(Backtest!$Q$9:$Q$264,Backtest!$A$9:$A$264,$B39)</f>
        <v>5.3844298776307906E-2</v>
      </c>
      <c r="H39" s="35">
        <f>AVERAGEIFS(Backtest!$R$9:$R$264,Backtest!$A$9:$A$264,$B39)</f>
        <v>8.8991578695044538E-2</v>
      </c>
      <c r="I39" s="8" t="str">
        <f t="shared" si="2"/>
        <v>Drift</v>
      </c>
    </row>
    <row r="40" spans="2:9" x14ac:dyDescent="0.25">
      <c r="B40" s="26">
        <f t="shared" si="1"/>
        <v>12</v>
      </c>
      <c r="C40" s="26">
        <f>INDEX(Backtest!$E$9:$E$264,(B40-1)*Horizon+1)</f>
        <v>4</v>
      </c>
      <c r="D40" s="29">
        <f>INDEX(Backtest!$G$9:$G$264,(B40-1)*Horizon+1)</f>
        <v>44562</v>
      </c>
      <c r="E40" s="26">
        <f>INDEX(Backtest!$F$9:$F$264,(B40-1)*Horizon+1)</f>
        <v>36</v>
      </c>
      <c r="F40" s="35">
        <f>AVERAGEIFS(Backtest!$P$9:$P$264,Backtest!$A$9:$A$264,$B40)</f>
        <v>0.4270786441767509</v>
      </c>
      <c r="G40" s="35">
        <f>AVERAGEIFS(Backtest!$Q$9:$Q$264,Backtest!$A$9:$A$264,$B40)</f>
        <v>7.2897323433372532E-2</v>
      </c>
      <c r="H40" s="35">
        <f>AVERAGEIFS(Backtest!$R$9:$R$264,Backtest!$A$9:$A$264,$B40)</f>
        <v>0.11101513560252931</v>
      </c>
      <c r="I40" s="8" t="str">
        <f t="shared" si="2"/>
        <v>Drift</v>
      </c>
    </row>
    <row r="41" spans="2:9" x14ac:dyDescent="0.25">
      <c r="B41" s="26">
        <f t="shared" si="1"/>
        <v>13</v>
      </c>
      <c r="C41" s="26">
        <f>INDEX(Backtest!$E$9:$E$264,(B41-1)*Horizon+1)</f>
        <v>5</v>
      </c>
      <c r="D41" s="29">
        <f>INDEX(Backtest!$G$9:$G$264,(B41-1)*Horizon+1)</f>
        <v>44593</v>
      </c>
      <c r="E41" s="26">
        <f>INDEX(Backtest!$F$9:$F$264,(B41-1)*Horizon+1)</f>
        <v>37</v>
      </c>
      <c r="F41" s="35">
        <f>AVERAGEIFS(Backtest!$P$9:$P$264,Backtest!$A$9:$A$264,$B41)</f>
        <v>0.41800189992581438</v>
      </c>
      <c r="G41" s="35">
        <f>AVERAGEIFS(Backtest!$Q$9:$Q$264,Backtest!$A$9:$A$264,$B41)</f>
        <v>8.3497547608368097E-2</v>
      </c>
      <c r="H41" s="35">
        <f>AVERAGEIFS(Backtest!$R$9:$R$264,Backtest!$A$9:$A$264,$B41)</f>
        <v>0.10877436112802405</v>
      </c>
      <c r="I41" s="8" t="str">
        <f t="shared" si="2"/>
        <v>Drift</v>
      </c>
    </row>
    <row r="42" spans="2:9" x14ac:dyDescent="0.25">
      <c r="B42" s="26">
        <f t="shared" si="1"/>
        <v>14</v>
      </c>
      <c r="C42" s="26">
        <f>INDEX(Backtest!$E$9:$E$264,(B42-1)*Horizon+1)</f>
        <v>6</v>
      </c>
      <c r="D42" s="29">
        <f>INDEX(Backtest!$G$9:$G$264,(B42-1)*Horizon+1)</f>
        <v>44621</v>
      </c>
      <c r="E42" s="26">
        <f>INDEX(Backtest!$F$9:$F$264,(B42-1)*Horizon+1)</f>
        <v>38</v>
      </c>
      <c r="F42" s="35">
        <f>AVERAGEIFS(Backtest!$P$9:$P$264,Backtest!$A$9:$A$264,$B42)</f>
        <v>0.41544144874130412</v>
      </c>
      <c r="G42" s="35">
        <f>AVERAGEIFS(Backtest!$Q$9:$Q$264,Backtest!$A$9:$A$264,$B42)</f>
        <v>5.3850312864109476E-2</v>
      </c>
      <c r="H42" s="35">
        <f>AVERAGEIFS(Backtest!$R$9:$R$264,Backtest!$A$9:$A$264,$B42)</f>
        <v>0.22848205519746798</v>
      </c>
      <c r="I42" s="8" t="str">
        <f t="shared" si="2"/>
        <v>Drift</v>
      </c>
    </row>
    <row r="43" spans="2:9" x14ac:dyDescent="0.25">
      <c r="B43" s="26">
        <f t="shared" si="1"/>
        <v>15</v>
      </c>
      <c r="C43" s="26">
        <f>INDEX(Backtest!$E$9:$E$264,(B43-1)*Horizon+1)</f>
        <v>7</v>
      </c>
      <c r="D43" s="29">
        <f>INDEX(Backtest!$G$9:$G$264,(B43-1)*Horizon+1)</f>
        <v>44652</v>
      </c>
      <c r="E43" s="26">
        <f>INDEX(Backtest!$F$9:$F$264,(B43-1)*Horizon+1)</f>
        <v>39</v>
      </c>
      <c r="F43" s="35">
        <f>AVERAGEIFS(Backtest!$P$9:$P$264,Backtest!$A$9:$A$264,$B43)</f>
        <v>0.4035163810895952</v>
      </c>
      <c r="G43" s="35">
        <f>AVERAGEIFS(Backtest!$Q$9:$Q$264,Backtest!$A$9:$A$264,$B43)</f>
        <v>0.1668539436317861</v>
      </c>
      <c r="H43" s="35">
        <f>AVERAGEIFS(Backtest!$R$9:$R$264,Backtest!$A$9:$A$264,$B43)</f>
        <v>0.44982836702878004</v>
      </c>
      <c r="I43" s="8" t="str">
        <f t="shared" si="2"/>
        <v>Drift</v>
      </c>
    </row>
    <row r="44" spans="2:9" x14ac:dyDescent="0.25">
      <c r="B44" s="26">
        <f t="shared" si="1"/>
        <v>16</v>
      </c>
      <c r="C44" s="26">
        <f>INDEX(Backtest!$E$9:$E$264,(B44-1)*Horizon+1)</f>
        <v>8</v>
      </c>
      <c r="D44" s="29">
        <f>INDEX(Backtest!$G$9:$G$264,(B44-1)*Horizon+1)</f>
        <v>44682</v>
      </c>
      <c r="E44" s="26">
        <f>INDEX(Backtest!$F$9:$F$264,(B44-1)*Horizon+1)</f>
        <v>40</v>
      </c>
      <c r="F44" s="35">
        <f>AVERAGEIFS(Backtest!$P$9:$P$264,Backtest!$A$9:$A$264,$B44)</f>
        <v>0.40684432694613459</v>
      </c>
      <c r="G44" s="35">
        <f>AVERAGEIFS(Backtest!$Q$9:$Q$264,Backtest!$A$9:$A$264,$B44)</f>
        <v>4.8783638212685727E-2</v>
      </c>
      <c r="H44" s="35">
        <f>AVERAGEIFS(Backtest!$R$9:$R$264,Backtest!$A$9:$A$264,$B44)</f>
        <v>0.38342991604889393</v>
      </c>
      <c r="I44" s="8" t="str">
        <f t="shared" si="2"/>
        <v>Drift</v>
      </c>
    </row>
    <row r="45" spans="2:9" x14ac:dyDescent="0.25">
      <c r="B45" s="26">
        <f t="shared" si="1"/>
        <v>17</v>
      </c>
      <c r="C45" s="26">
        <f>INDEX(Backtest!$E$9:$E$264,(B45-1)*Horizon+1)</f>
        <v>9</v>
      </c>
      <c r="D45" s="29">
        <f>INDEX(Backtest!$G$9:$G$264,(B45-1)*Horizon+1)</f>
        <v>44713</v>
      </c>
      <c r="E45" s="26">
        <f>INDEX(Backtest!$F$9:$F$264,(B45-1)*Horizon+1)</f>
        <v>41</v>
      </c>
      <c r="F45" s="35">
        <f>AVERAGEIFS(Backtest!$P$9:$P$264,Backtest!$A$9:$A$264,$B45)</f>
        <v>0.40884739431246164</v>
      </c>
      <c r="G45" s="35">
        <f>AVERAGEIFS(Backtest!$Q$9:$Q$264,Backtest!$A$9:$A$264,$B45)</f>
        <v>4.4175930943541136E-2</v>
      </c>
      <c r="H45" s="35">
        <f>AVERAGEIFS(Backtest!$R$9:$R$264,Backtest!$A$9:$A$264,$B45)</f>
        <v>7.7697159043835534E-2</v>
      </c>
      <c r="I45" s="8" t="str">
        <f t="shared" si="2"/>
        <v>Drift</v>
      </c>
    </row>
    <row r="46" spans="2:9" x14ac:dyDescent="0.25">
      <c r="B46" s="26">
        <f t="shared" si="1"/>
        <v>18</v>
      </c>
      <c r="C46" s="26">
        <f>INDEX(Backtest!$E$9:$E$264,(B46-1)*Horizon+1)</f>
        <v>10</v>
      </c>
      <c r="D46" s="29">
        <f>INDEX(Backtest!$G$9:$G$264,(B46-1)*Horizon+1)</f>
        <v>44743</v>
      </c>
      <c r="E46" s="26">
        <f>INDEX(Backtest!$F$9:$F$264,(B46-1)*Horizon+1)</f>
        <v>42</v>
      </c>
      <c r="F46" s="35">
        <f>AVERAGEIFS(Backtest!$P$9:$P$264,Backtest!$A$9:$A$264,$B46)</f>
        <v>0.4058285267322092</v>
      </c>
      <c r="G46" s="35">
        <f>AVERAGEIFS(Backtest!$Q$9:$Q$264,Backtest!$A$9:$A$264,$B46)</f>
        <v>5.8505254846575212E-2</v>
      </c>
      <c r="H46" s="35">
        <f>AVERAGEIFS(Backtest!$R$9:$R$264,Backtest!$A$9:$A$264,$B46)</f>
        <v>0.6962473055742926</v>
      </c>
      <c r="I46" s="8" t="str">
        <f t="shared" si="2"/>
        <v>Drift</v>
      </c>
    </row>
    <row r="47" spans="2:9" x14ac:dyDescent="0.25">
      <c r="B47" s="26">
        <f t="shared" si="1"/>
        <v>19</v>
      </c>
      <c r="C47" s="26">
        <f>INDEX(Backtest!$E$9:$E$264,(B47-1)*Horizon+1)</f>
        <v>11</v>
      </c>
      <c r="D47" s="29">
        <f>INDEX(Backtest!$G$9:$G$264,(B47-1)*Horizon+1)</f>
        <v>44774</v>
      </c>
      <c r="E47" s="26">
        <f>INDEX(Backtest!$F$9:$F$264,(B47-1)*Horizon+1)</f>
        <v>43</v>
      </c>
      <c r="F47" s="35">
        <f>AVERAGEIFS(Backtest!$P$9:$P$264,Backtest!$A$9:$A$264,$B47)</f>
        <v>0.39796641321922549</v>
      </c>
      <c r="G47" s="35">
        <f>AVERAGEIFS(Backtest!$Q$9:$Q$264,Backtest!$A$9:$A$264,$B47)</f>
        <v>4.1625486975064789E-2</v>
      </c>
      <c r="H47" s="35">
        <f>AVERAGEIFS(Backtest!$R$9:$R$264,Backtest!$A$9:$A$264,$B47)</f>
        <v>9.6744309233964071E-2</v>
      </c>
      <c r="I47" s="8" t="str">
        <f t="shared" si="2"/>
        <v>Drift</v>
      </c>
    </row>
    <row r="48" spans="2:9" x14ac:dyDescent="0.25">
      <c r="B48" s="26">
        <f t="shared" si="1"/>
        <v>20</v>
      </c>
      <c r="C48" s="26">
        <f>INDEX(Backtest!$E$9:$E$264,(B48-1)*Horizon+1)</f>
        <v>12</v>
      </c>
      <c r="D48" s="29">
        <f>INDEX(Backtest!$G$9:$G$264,(B48-1)*Horizon+1)</f>
        <v>44805</v>
      </c>
      <c r="E48" s="26">
        <f>INDEX(Backtest!$F$9:$F$264,(B48-1)*Horizon+1)</f>
        <v>44</v>
      </c>
      <c r="F48" s="35">
        <f>AVERAGEIFS(Backtest!$P$9:$P$264,Backtest!$A$9:$A$264,$B48)</f>
        <v>0.39480978809646622</v>
      </c>
      <c r="G48" s="35">
        <f>AVERAGEIFS(Backtest!$Q$9:$Q$264,Backtest!$A$9:$A$264,$B48)</f>
        <v>7.4774374004106858E-2</v>
      </c>
      <c r="H48" s="35">
        <f>AVERAGEIFS(Backtest!$R$9:$R$264,Backtest!$A$9:$A$264,$B48)</f>
        <v>0.25775679506190979</v>
      </c>
      <c r="I48" s="8" t="str">
        <f t="shared" si="2"/>
        <v>Drift</v>
      </c>
    </row>
    <row r="49" spans="2:9" x14ac:dyDescent="0.25">
      <c r="B49" s="26">
        <f t="shared" si="1"/>
        <v>21</v>
      </c>
      <c r="C49" s="26">
        <f>INDEX(Backtest!$E$9:$E$264,(B49-1)*Horizon+1)</f>
        <v>13</v>
      </c>
      <c r="D49" s="29">
        <f>INDEX(Backtest!$G$9:$G$264,(B49-1)*Horizon+1)</f>
        <v>44835</v>
      </c>
      <c r="E49" s="26">
        <f>INDEX(Backtest!$F$9:$F$264,(B49-1)*Horizon+1)</f>
        <v>45</v>
      </c>
      <c r="F49" s="35">
        <f>AVERAGEIFS(Backtest!$P$9:$P$264,Backtest!$A$9:$A$264,$B49)</f>
        <v>0.40065405070224974</v>
      </c>
      <c r="G49" s="35">
        <f>AVERAGEIFS(Backtest!$Q$9:$Q$264,Backtest!$A$9:$A$264,$B49)</f>
        <v>4.0819757521992447E-2</v>
      </c>
      <c r="H49" s="35">
        <f>AVERAGEIFS(Backtest!$R$9:$R$264,Backtest!$A$9:$A$264,$B49)</f>
        <v>0.20088572973953026</v>
      </c>
      <c r="I49" s="8" t="str">
        <f t="shared" si="2"/>
        <v>Drift</v>
      </c>
    </row>
    <row r="50" spans="2:9" x14ac:dyDescent="0.25">
      <c r="B50" s="26">
        <f t="shared" si="1"/>
        <v>22</v>
      </c>
      <c r="C50" s="26">
        <f>INDEX(Backtest!$E$9:$E$264,(B50-1)*Horizon+1)</f>
        <v>14</v>
      </c>
      <c r="D50" s="29">
        <f>INDEX(Backtest!$G$9:$G$264,(B50-1)*Horizon+1)</f>
        <v>44866</v>
      </c>
      <c r="E50" s="26">
        <f>INDEX(Backtest!$F$9:$F$264,(B50-1)*Horizon+1)</f>
        <v>46</v>
      </c>
      <c r="F50" s="35">
        <f>AVERAGEIFS(Backtest!$P$9:$P$264,Backtest!$A$9:$A$264,$B50)</f>
        <v>0.39436344620974539</v>
      </c>
      <c r="G50" s="35">
        <f>AVERAGEIFS(Backtest!$Q$9:$Q$264,Backtest!$A$9:$A$264,$B50)</f>
        <v>3.3821315806783124E-2</v>
      </c>
      <c r="H50" s="35">
        <f>AVERAGEIFS(Backtest!$R$9:$R$264,Backtest!$A$9:$A$264,$B50)</f>
        <v>0.18462915792409548</v>
      </c>
      <c r="I50" s="8" t="str">
        <f t="shared" si="2"/>
        <v>Drift</v>
      </c>
    </row>
    <row r="51" spans="2:9" x14ac:dyDescent="0.25">
      <c r="B51" s="26">
        <f t="shared" si="1"/>
        <v>23</v>
      </c>
      <c r="C51" s="26">
        <f>INDEX(Backtest!$E$9:$E$264,(B51-1)*Horizon+1)</f>
        <v>15</v>
      </c>
      <c r="D51" s="29">
        <f>INDEX(Backtest!$G$9:$G$264,(B51-1)*Horizon+1)</f>
        <v>44896</v>
      </c>
      <c r="E51" s="26">
        <f>INDEX(Backtest!$F$9:$F$264,(B51-1)*Horizon+1)</f>
        <v>47</v>
      </c>
      <c r="F51" s="35">
        <f>AVERAGEIFS(Backtest!$P$9:$P$264,Backtest!$A$9:$A$264,$B51)</f>
        <v>0.39644413102841219</v>
      </c>
      <c r="G51" s="35">
        <f>AVERAGEIFS(Backtest!$Q$9:$Q$264,Backtest!$A$9:$A$264,$B51)</f>
        <v>3.8511673432433113E-2</v>
      </c>
      <c r="H51" s="35">
        <f>AVERAGEIFS(Backtest!$R$9:$R$264,Backtest!$A$9:$A$264,$B51)</f>
        <v>6.1560897541901992E-2</v>
      </c>
      <c r="I51" s="8" t="str">
        <f t="shared" si="2"/>
        <v>Drift</v>
      </c>
    </row>
    <row r="52" spans="2:9" x14ac:dyDescent="0.25">
      <c r="B52" s="26">
        <f t="shared" si="1"/>
        <v>24</v>
      </c>
      <c r="C52" s="26">
        <f>INDEX(Backtest!$E$9:$E$264,(B52-1)*Horizon+1)</f>
        <v>16</v>
      </c>
      <c r="D52" s="29">
        <f>INDEX(Backtest!$G$9:$G$264,(B52-1)*Horizon+1)</f>
        <v>44927</v>
      </c>
      <c r="E52" s="26">
        <f>INDEX(Backtest!$F$9:$F$264,(B52-1)*Horizon+1)</f>
        <v>48</v>
      </c>
      <c r="F52" s="35">
        <f>AVERAGEIFS(Backtest!$P$9:$P$264,Backtest!$A$9:$A$264,$B52)</f>
        <v>0.39863554089664011</v>
      </c>
      <c r="G52" s="35">
        <f>AVERAGEIFS(Backtest!$Q$9:$Q$264,Backtest!$A$9:$A$264,$B52)</f>
        <v>3.7034228933943543E-2</v>
      </c>
      <c r="H52" s="35">
        <f>AVERAGEIFS(Backtest!$R$9:$R$264,Backtest!$A$9:$A$264,$B52)</f>
        <v>0.13478496185245398</v>
      </c>
      <c r="I52" s="8" t="str">
        <f t="shared" si="2"/>
        <v>Drift</v>
      </c>
    </row>
    <row r="53" spans="2:9" x14ac:dyDescent="0.25">
      <c r="B53" s="26">
        <f t="shared" si="1"/>
        <v>25</v>
      </c>
      <c r="C53" s="26">
        <f>INDEX(Backtest!$E$9:$E$264,(B53-1)*Horizon+1)</f>
        <v>17</v>
      </c>
      <c r="D53" s="29">
        <f>INDEX(Backtest!$G$9:$G$264,(B53-1)*Horizon+1)</f>
        <v>44958</v>
      </c>
      <c r="E53" s="26">
        <f>INDEX(Backtest!$F$9:$F$264,(B53-1)*Horizon+1)</f>
        <v>49</v>
      </c>
      <c r="F53" s="35">
        <f>AVERAGEIFS(Backtest!$P$9:$P$264,Backtest!$A$9:$A$264,$B53)</f>
        <v>0.4081148272251322</v>
      </c>
      <c r="G53" s="35">
        <f>AVERAGEIFS(Backtest!$Q$9:$Q$264,Backtest!$A$9:$A$264,$B53)</f>
        <v>5.4712101929121265E-2</v>
      </c>
      <c r="H53" s="35">
        <f>AVERAGEIFS(Backtest!$R$9:$R$264,Backtest!$A$9:$A$264,$B53)</f>
        <v>0.10319675790112562</v>
      </c>
      <c r="I53" s="8" t="str">
        <f t="shared" si="2"/>
        <v>Drift</v>
      </c>
    </row>
    <row r="54" spans="2:9" x14ac:dyDescent="0.25">
      <c r="B54" s="26">
        <f t="shared" si="1"/>
        <v>26</v>
      </c>
      <c r="C54" s="26">
        <f>INDEX(Backtest!$E$9:$E$264,(B54-1)*Horizon+1)</f>
        <v>18</v>
      </c>
      <c r="D54" s="29">
        <f>INDEX(Backtest!$G$9:$G$264,(B54-1)*Horizon+1)</f>
        <v>44986</v>
      </c>
      <c r="E54" s="26">
        <f>INDEX(Backtest!$F$9:$F$264,(B54-1)*Horizon+1)</f>
        <v>50</v>
      </c>
      <c r="F54" s="35">
        <f>AVERAGEIFS(Backtest!$P$9:$P$264,Backtest!$A$9:$A$264,$B54)</f>
        <v>0.41322188669449039</v>
      </c>
      <c r="G54" s="35">
        <f>AVERAGEIFS(Backtest!$Q$9:$Q$264,Backtest!$A$9:$A$264,$B54)</f>
        <v>5.365557784086767E-2</v>
      </c>
      <c r="H54" s="35">
        <f>AVERAGEIFS(Backtest!$R$9:$R$264,Backtest!$A$9:$A$264,$B54)</f>
        <v>0.53457900326987551</v>
      </c>
      <c r="I54" s="8" t="str">
        <f t="shared" si="2"/>
        <v>Drift</v>
      </c>
    </row>
    <row r="55" spans="2:9" x14ac:dyDescent="0.25">
      <c r="B55" s="26">
        <f t="shared" si="1"/>
        <v>27</v>
      </c>
      <c r="C55" s="26">
        <f>INDEX(Backtest!$E$9:$E$264,(B55-1)*Horizon+1)</f>
        <v>19</v>
      </c>
      <c r="D55" s="29">
        <f>INDEX(Backtest!$G$9:$G$264,(B55-1)*Horizon+1)</f>
        <v>45017</v>
      </c>
      <c r="E55" s="26">
        <f>INDEX(Backtest!$F$9:$F$264,(B55-1)*Horizon+1)</f>
        <v>51</v>
      </c>
      <c r="F55" s="35">
        <f>AVERAGEIFS(Backtest!$P$9:$P$264,Backtest!$A$9:$A$264,$B55)</f>
        <v>0.42879265541958483</v>
      </c>
      <c r="G55" s="35">
        <f>AVERAGEIFS(Backtest!$Q$9:$Q$264,Backtest!$A$9:$A$264,$B55)</f>
        <v>0.11648748844004131</v>
      </c>
      <c r="H55" s="35">
        <f>AVERAGEIFS(Backtest!$R$9:$R$264,Backtest!$A$9:$A$264,$B55)</f>
        <v>0.51952948938722154</v>
      </c>
      <c r="I55" s="8" t="str">
        <f t="shared" si="2"/>
        <v>Drift</v>
      </c>
    </row>
    <row r="56" spans="2:9" x14ac:dyDescent="0.25">
      <c r="B56" s="26">
        <f t="shared" si="1"/>
        <v>28</v>
      </c>
      <c r="C56" s="26">
        <f>INDEX(Backtest!$E$9:$E$264,(B56-1)*Horizon+1)</f>
        <v>20</v>
      </c>
      <c r="D56" s="29">
        <f>INDEX(Backtest!$G$9:$G$264,(B56-1)*Horizon+1)</f>
        <v>45047</v>
      </c>
      <c r="E56" s="26">
        <f>INDEX(Backtest!$F$9:$F$264,(B56-1)*Horizon+1)</f>
        <v>52</v>
      </c>
      <c r="F56" s="35">
        <f>AVERAGEIFS(Backtest!$P$9:$P$264,Backtest!$A$9:$A$264,$B56)</f>
        <v>0.44076074677733484</v>
      </c>
      <c r="G56" s="35">
        <f>AVERAGEIFS(Backtest!$Q$9:$Q$264,Backtest!$A$9:$A$264,$B56)</f>
        <v>7.5882108764376274E-2</v>
      </c>
      <c r="H56" s="35">
        <f>AVERAGEIFS(Backtest!$R$9:$R$264,Backtest!$A$9:$A$264,$B56)</f>
        <v>0.25570439464709749</v>
      </c>
      <c r="I56" s="8" t="str">
        <f t="shared" si="2"/>
        <v>Drift</v>
      </c>
    </row>
    <row r="57" spans="2:9" x14ac:dyDescent="0.25">
      <c r="B57" s="26">
        <f t="shared" si="1"/>
        <v>29</v>
      </c>
      <c r="C57" s="26">
        <f>INDEX(Backtest!$E$9:$E$264,(B57-1)*Horizon+1)</f>
        <v>21</v>
      </c>
      <c r="D57" s="29">
        <f>INDEX(Backtest!$G$9:$G$264,(B57-1)*Horizon+1)</f>
        <v>45078</v>
      </c>
      <c r="E57" s="26">
        <f>INDEX(Backtest!$F$9:$F$264,(B57-1)*Horizon+1)</f>
        <v>53</v>
      </c>
      <c r="F57" s="35">
        <f>AVERAGEIFS(Backtest!$P$9:$P$264,Backtest!$A$9:$A$264,$B57)</f>
        <v>0.44448023145577764</v>
      </c>
      <c r="G57" s="35">
        <f>AVERAGEIFS(Backtest!$Q$9:$Q$264,Backtest!$A$9:$A$264,$B57)</f>
        <v>7.3140439357090928E-2</v>
      </c>
      <c r="H57" s="35">
        <f>AVERAGEIFS(Backtest!$R$9:$R$264,Backtest!$A$9:$A$264,$B57)</f>
        <v>7.4797124015817701E-2</v>
      </c>
      <c r="I57" s="8" t="str">
        <f t="shared" si="2"/>
        <v>Drift</v>
      </c>
    </row>
    <row r="58" spans="2:9" x14ac:dyDescent="0.25">
      <c r="B58" s="26">
        <f t="shared" si="1"/>
        <v>30</v>
      </c>
      <c r="C58" s="26">
        <f>INDEX(Backtest!$E$9:$E$264,(B58-1)*Horizon+1)</f>
        <v>22</v>
      </c>
      <c r="D58" s="29">
        <f>INDEX(Backtest!$G$9:$G$264,(B58-1)*Horizon+1)</f>
        <v>45108</v>
      </c>
      <c r="E58" s="26">
        <f>INDEX(Backtest!$F$9:$F$264,(B58-1)*Horizon+1)</f>
        <v>54</v>
      </c>
      <c r="F58" s="35">
        <f>AVERAGEIFS(Backtest!$P$9:$P$264,Backtest!$A$9:$A$264,$B58)</f>
        <v>0.47080962312172908</v>
      </c>
      <c r="G58" s="35">
        <f>AVERAGEIFS(Backtest!$Q$9:$Q$264,Backtest!$A$9:$A$264,$B58)</f>
        <v>0.18449624548314836</v>
      </c>
      <c r="H58" s="35">
        <f>AVERAGEIFS(Backtest!$R$9:$R$264,Backtest!$A$9:$A$264,$B58)</f>
        <v>0.14873496829751096</v>
      </c>
      <c r="I58" s="8" t="str">
        <f t="shared" si="2"/>
        <v>Holt-Winters</v>
      </c>
    </row>
    <row r="59" spans="2:9" x14ac:dyDescent="0.25">
      <c r="B59" s="26">
        <f t="shared" si="1"/>
        <v>31</v>
      </c>
      <c r="C59" s="26">
        <f>INDEX(Backtest!$E$9:$E$264,(B59-1)*Horizon+1)</f>
        <v>23</v>
      </c>
      <c r="D59" s="29">
        <f>INDEX(Backtest!$G$9:$G$264,(B59-1)*Horizon+1)</f>
        <v>45139</v>
      </c>
      <c r="E59" s="26">
        <f>INDEX(Backtest!$F$9:$F$264,(B59-1)*Horizon+1)</f>
        <v>55</v>
      </c>
      <c r="F59" s="35">
        <f>AVERAGEIFS(Backtest!$P$9:$P$264,Backtest!$A$9:$A$264,$B59)</f>
        <v>0.49221768157118473</v>
      </c>
      <c r="G59" s="35">
        <f>AVERAGEIFS(Backtest!$Q$9:$Q$264,Backtest!$A$9:$A$264,$B59)</f>
        <v>0.13927129587836529</v>
      </c>
      <c r="H59" s="35">
        <f>AVERAGEIFS(Backtest!$R$9:$R$264,Backtest!$A$9:$A$264,$B59)</f>
        <v>5.4153898332389039E-2</v>
      </c>
      <c r="I59" s="8" t="str">
        <f t="shared" si="2"/>
        <v>Holt-Winters</v>
      </c>
    </row>
    <row r="60" spans="2:9" x14ac:dyDescent="0.25">
      <c r="B60" s="26">
        <f t="shared" si="1"/>
        <v>32</v>
      </c>
      <c r="C60" s="26">
        <f>INDEX(Backtest!$E$9:$E$264,(B60-1)*Horizon+1)</f>
        <v>24</v>
      </c>
      <c r="D60" s="29">
        <f>INDEX(Backtest!$G$9:$G$264,(B60-1)*Horizon+1)</f>
        <v>45170</v>
      </c>
      <c r="E60" s="26">
        <f>INDEX(Backtest!$F$9:$F$264,(B60-1)*Horizon+1)</f>
        <v>56</v>
      </c>
      <c r="F60" s="35">
        <f>AVERAGEIFS(Backtest!$P$9:$P$264,Backtest!$A$9:$A$264,$B60)</f>
        <v>0.52076020235779485</v>
      </c>
      <c r="G60" s="35">
        <f>AVERAGEIFS(Backtest!$Q$9:$Q$264,Backtest!$A$9:$A$264,$B60)</f>
        <v>0.17289900032910044</v>
      </c>
      <c r="H60" s="35">
        <f>AVERAGEIFS(Backtest!$R$9:$R$264,Backtest!$A$9:$A$264,$B60)</f>
        <v>7.6806143078692643E-2</v>
      </c>
      <c r="I60" s="8" t="str">
        <f t="shared" si="2"/>
        <v>Holt-Winters</v>
      </c>
    </row>
    <row r="62" spans="2:9" x14ac:dyDescent="0.25">
      <c r="B62" s="21" t="s">
        <v>252</v>
      </c>
    </row>
  </sheetData>
  <conditionalFormatting sqref="B29:I60">
    <cfRule type="expression" dxfId="2" priority="1">
      <formula>$C29=""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O26"/>
  <sheetViews>
    <sheetView showGridLines="0" workbookViewId="0"/>
  </sheetViews>
  <sheetFormatPr defaultRowHeight="15" x14ac:dyDescent="0.25"/>
  <cols>
    <col min="1" max="1" width="3" customWidth="1"/>
    <col min="2" max="2" width="7" customWidth="1"/>
    <col min="3" max="3" width="8" customWidth="1"/>
    <col min="4" max="4" width="10" customWidth="1"/>
    <col min="5" max="7" width="12" customWidth="1"/>
    <col min="8" max="9" width="9" customWidth="1"/>
    <col min="10" max="10" width="12" customWidth="1"/>
    <col min="11" max="11" width="13" customWidth="1"/>
    <col min="12" max="14" width="10" customWidth="1"/>
    <col min="15" max="15" width="13" customWidth="1"/>
  </cols>
  <sheetData>
    <row r="1" spans="1:15" ht="18" x14ac:dyDescent="0.25">
      <c r="A1" s="13" t="s">
        <v>253</v>
      </c>
    </row>
    <row r="2" spans="1:15" x14ac:dyDescent="0.25">
      <c r="A2" s="14" t="s">
        <v>254</v>
      </c>
    </row>
    <row r="3" spans="1:15" x14ac:dyDescent="0.25">
      <c r="A3" s="14" t="s">
        <v>255</v>
      </c>
    </row>
    <row r="5" spans="1:15" x14ac:dyDescent="0.25">
      <c r="B5" s="22" t="s">
        <v>236</v>
      </c>
      <c r="C5" s="23">
        <v>6</v>
      </c>
      <c r="D5" s="21" t="s">
        <v>256</v>
      </c>
    </row>
    <row r="8" spans="1:15" ht="32.1" customHeight="1" x14ac:dyDescent="0.25">
      <c r="B8" s="4" t="s">
        <v>257</v>
      </c>
      <c r="C8" s="4" t="s">
        <v>214</v>
      </c>
      <c r="D8" s="4" t="s">
        <v>217</v>
      </c>
      <c r="E8" s="4" t="s">
        <v>258</v>
      </c>
      <c r="F8" s="4" t="s">
        <v>179</v>
      </c>
      <c r="G8" s="4" t="s">
        <v>180</v>
      </c>
      <c r="H8" s="4" t="s">
        <v>220</v>
      </c>
      <c r="I8" s="4" t="s">
        <v>221</v>
      </c>
      <c r="J8" s="4" t="s">
        <v>222</v>
      </c>
      <c r="K8" s="4" t="s">
        <v>182</v>
      </c>
      <c r="L8" s="4" t="s">
        <v>184</v>
      </c>
      <c r="M8" s="4" t="s">
        <v>185</v>
      </c>
      <c r="N8" s="4" t="s">
        <v>186</v>
      </c>
      <c r="O8" s="4" t="s">
        <v>259</v>
      </c>
    </row>
    <row r="9" spans="1:15" x14ac:dyDescent="0.25">
      <c r="B9" s="26">
        <f t="shared" ref="B9:B14" si="0">ROW()-ROW($B$8)</f>
        <v>1</v>
      </c>
      <c r="C9" s="26">
        <f t="shared" ref="C9:C14" si="1">$C$5-B9+1</f>
        <v>6</v>
      </c>
      <c r="D9" s="26">
        <f t="shared" ref="D9:D14" si="2">NMonths-C9</f>
        <v>58</v>
      </c>
      <c r="E9" s="29">
        <f t="shared" ref="E9:E14" si="3">INDEX(Months,D9+1)</f>
        <v>45231</v>
      </c>
      <c r="F9" s="33">
        <f t="shared" ref="F9:F14" si="4">INDEX(Sales,D9+1)</f>
        <v>298467.6802778244</v>
      </c>
      <c r="G9" s="33">
        <f t="shared" ref="G9:G14" si="5">INDEX(Sales,D9+1-Season)</f>
        <v>155504.0401403904</v>
      </c>
      <c r="H9" s="19">
        <f t="shared" ref="H9:H14" si="6">INDEX(Sales,D9)/INDEX(Sales,D9-Season)</f>
        <v>1.8361252900311749</v>
      </c>
      <c r="I9" s="19">
        <f t="shared" ref="I9:I14" si="7">MIN(MAX(H9,ClipLow),ClipHigh)</f>
        <v>1.8361252900311749</v>
      </c>
      <c r="J9" s="33">
        <f t="shared" ref="J9:J14" si="8">G9*I9</f>
        <v>285524.90080379375</v>
      </c>
      <c r="K9" s="33">
        <f t="shared" ref="K9:K14" si="9">INDEX(HWOld,MATCH(C9,HWOldOffsets,0))</f>
        <v>299376.0748463085</v>
      </c>
      <c r="L9" s="35">
        <f t="shared" ref="L9:L14" si="10">ABS(G9-F9)/F9</f>
        <v>0.47899203024045461</v>
      </c>
      <c r="M9" s="35">
        <f t="shared" ref="M9:M14" si="11">ABS(J9-F9)/F9</f>
        <v>4.3364090416701244E-2</v>
      </c>
      <c r="N9" s="35">
        <f t="shared" ref="N9:N14" si="12">ABS(K9-F9)/F9</f>
        <v>3.043527418575223E-3</v>
      </c>
      <c r="O9" s="8" t="str">
        <f t="shared" ref="O9:O14" si="13">IF(M9&lt;N9,"Drift","Holt-Winters")</f>
        <v>Holt-Winters</v>
      </c>
    </row>
    <row r="10" spans="1:15" x14ac:dyDescent="0.25">
      <c r="B10" s="26">
        <f t="shared" si="0"/>
        <v>2</v>
      </c>
      <c r="C10" s="26">
        <f t="shared" si="1"/>
        <v>5</v>
      </c>
      <c r="D10" s="26">
        <f t="shared" si="2"/>
        <v>59</v>
      </c>
      <c r="E10" s="29">
        <f t="shared" si="3"/>
        <v>45261</v>
      </c>
      <c r="F10" s="33">
        <f t="shared" si="4"/>
        <v>326301.66045475012</v>
      </c>
      <c r="G10" s="33">
        <f t="shared" si="5"/>
        <v>160734.2702050395</v>
      </c>
      <c r="H10" s="19">
        <f t="shared" si="6"/>
        <v>1.9193564360666462</v>
      </c>
      <c r="I10" s="19">
        <f t="shared" si="7"/>
        <v>1.9193564360666462</v>
      </c>
      <c r="J10" s="33">
        <f t="shared" si="8"/>
        <v>308506.35601451795</v>
      </c>
      <c r="K10" s="33">
        <f t="shared" si="9"/>
        <v>308795.32176880178</v>
      </c>
      <c r="L10" s="35">
        <f t="shared" si="10"/>
        <v>0.50740590783071016</v>
      </c>
      <c r="M10" s="35">
        <f t="shared" si="11"/>
        <v>5.4536358826466749E-2</v>
      </c>
      <c r="N10" s="35">
        <f t="shared" si="12"/>
        <v>5.3650780267408521E-2</v>
      </c>
      <c r="O10" s="8" t="str">
        <f t="shared" si="13"/>
        <v>Holt-Winters</v>
      </c>
    </row>
    <row r="11" spans="1:15" x14ac:dyDescent="0.25">
      <c r="B11" s="26">
        <f t="shared" si="0"/>
        <v>3</v>
      </c>
      <c r="C11" s="26">
        <f t="shared" si="1"/>
        <v>4</v>
      </c>
      <c r="D11" s="26">
        <f t="shared" si="2"/>
        <v>60</v>
      </c>
      <c r="E11" s="29">
        <f t="shared" si="3"/>
        <v>45292</v>
      </c>
      <c r="F11" s="33">
        <f t="shared" si="4"/>
        <v>348737.74029840901</v>
      </c>
      <c r="G11" s="33">
        <f t="shared" si="5"/>
        <v>188680.17009925839</v>
      </c>
      <c r="H11" s="19">
        <f t="shared" si="6"/>
        <v>2.0300690079253525</v>
      </c>
      <c r="I11" s="19">
        <f t="shared" si="7"/>
        <v>2.0300690079253525</v>
      </c>
      <c r="J11" s="33">
        <f t="shared" si="8"/>
        <v>383033.76572858827</v>
      </c>
      <c r="K11" s="33">
        <f t="shared" si="9"/>
        <v>406969.84535964811</v>
      </c>
      <c r="L11" s="35">
        <f t="shared" si="10"/>
        <v>0.45896257188049694</v>
      </c>
      <c r="M11" s="35">
        <f t="shared" si="11"/>
        <v>9.8343314953043881E-2</v>
      </c>
      <c r="N11" s="35">
        <f t="shared" si="12"/>
        <v>0.16697964783338581</v>
      </c>
      <c r="O11" s="8" t="str">
        <f t="shared" si="13"/>
        <v>Drift</v>
      </c>
    </row>
    <row r="12" spans="1:15" x14ac:dyDescent="0.25">
      <c r="B12" s="26">
        <f t="shared" si="0"/>
        <v>4</v>
      </c>
      <c r="C12" s="26">
        <f t="shared" si="1"/>
        <v>3</v>
      </c>
      <c r="D12" s="26">
        <f t="shared" si="2"/>
        <v>61</v>
      </c>
      <c r="E12" s="29">
        <f t="shared" si="3"/>
        <v>45323</v>
      </c>
      <c r="F12" s="33">
        <f t="shared" si="4"/>
        <v>381972.60026504472</v>
      </c>
      <c r="G12" s="33">
        <f t="shared" si="5"/>
        <v>167409.8501970768</v>
      </c>
      <c r="H12" s="19">
        <f t="shared" si="6"/>
        <v>1.848300964086208</v>
      </c>
      <c r="I12" s="19">
        <f t="shared" si="7"/>
        <v>1.848300964086208</v>
      </c>
      <c r="J12" s="33">
        <f t="shared" si="8"/>
        <v>309423.78751678468</v>
      </c>
      <c r="K12" s="33">
        <f t="shared" si="9"/>
        <v>307438.66123645322</v>
      </c>
      <c r="L12" s="35">
        <f t="shared" si="10"/>
        <v>0.56172288252897262</v>
      </c>
      <c r="M12" s="35">
        <f t="shared" si="11"/>
        <v>0.18993198124137586</v>
      </c>
      <c r="N12" s="35">
        <f t="shared" si="12"/>
        <v>0.19512901966495394</v>
      </c>
      <c r="O12" s="8" t="str">
        <f t="shared" si="13"/>
        <v>Drift</v>
      </c>
    </row>
    <row r="13" spans="1:15" x14ac:dyDescent="0.25">
      <c r="B13" s="26">
        <f t="shared" si="0"/>
        <v>5</v>
      </c>
      <c r="C13" s="26">
        <f t="shared" si="1"/>
        <v>2</v>
      </c>
      <c r="D13" s="26">
        <f t="shared" si="2"/>
        <v>62</v>
      </c>
      <c r="E13" s="29">
        <f t="shared" si="3"/>
        <v>45352</v>
      </c>
      <c r="F13" s="33">
        <f t="shared" si="4"/>
        <v>441334.21046054357</v>
      </c>
      <c r="G13" s="33">
        <f t="shared" si="5"/>
        <v>184777.90021240711</v>
      </c>
      <c r="H13" s="19">
        <f t="shared" si="6"/>
        <v>2.2816614423546895</v>
      </c>
      <c r="I13" s="19">
        <f t="shared" si="7"/>
        <v>2.2816614423546895</v>
      </c>
      <c r="J13" s="33">
        <f t="shared" si="8"/>
        <v>421600.61031391169</v>
      </c>
      <c r="K13" s="33">
        <f t="shared" si="9"/>
        <v>551176.32012038096</v>
      </c>
      <c r="L13" s="35">
        <f t="shared" si="10"/>
        <v>0.58131978932794126</v>
      </c>
      <c r="M13" s="35">
        <f t="shared" si="11"/>
        <v>4.4713506632625119E-2</v>
      </c>
      <c r="N13" s="35">
        <f t="shared" si="12"/>
        <v>0.24888646077360357</v>
      </c>
      <c r="O13" s="8" t="str">
        <f t="shared" si="13"/>
        <v>Drift</v>
      </c>
    </row>
    <row r="14" spans="1:15" x14ac:dyDescent="0.25">
      <c r="B14" s="26">
        <f t="shared" si="0"/>
        <v>6</v>
      </c>
      <c r="C14" s="26">
        <f t="shared" si="1"/>
        <v>1</v>
      </c>
      <c r="D14" s="26">
        <f t="shared" si="2"/>
        <v>63</v>
      </c>
      <c r="E14" s="29">
        <f t="shared" si="3"/>
        <v>45383</v>
      </c>
      <c r="F14" s="33">
        <f t="shared" si="4"/>
        <v>550157.88051688671</v>
      </c>
      <c r="G14" s="33">
        <f t="shared" si="5"/>
        <v>193149.96007275581</v>
      </c>
      <c r="H14" s="19">
        <f t="shared" si="6"/>
        <v>2.3884577644470371</v>
      </c>
      <c r="I14" s="19">
        <f t="shared" si="7"/>
        <v>2.3884577644470371</v>
      </c>
      <c r="J14" s="33">
        <f t="shared" si="8"/>
        <v>461330.52183840884</v>
      </c>
      <c r="K14" s="33">
        <f t="shared" si="9"/>
        <v>476681.41775285488</v>
      </c>
      <c r="L14" s="35">
        <f t="shared" si="10"/>
        <v>0.64891903413019059</v>
      </c>
      <c r="M14" s="35">
        <f t="shared" si="11"/>
        <v>0.16145794111868836</v>
      </c>
      <c r="N14" s="35">
        <f t="shared" si="12"/>
        <v>0.1335552309002625</v>
      </c>
      <c r="O14" s="8" t="str">
        <f t="shared" si="13"/>
        <v>Holt-Winters</v>
      </c>
    </row>
    <row r="15" spans="1:15" x14ac:dyDescent="0.25">
      <c r="B15" s="22" t="s">
        <v>260</v>
      </c>
      <c r="L15" s="36">
        <f>AVERAGE(L9:L14)</f>
        <v>0.53955370265646108</v>
      </c>
      <c r="M15" s="36">
        <f>AVERAGE(M9:M14)</f>
        <v>9.8724532198150194E-2</v>
      </c>
      <c r="N15" s="36">
        <f>AVERAGE(N9:N14)</f>
        <v>0.13354077780969828</v>
      </c>
    </row>
    <row r="16" spans="1:15" x14ac:dyDescent="0.25">
      <c r="B16" s="22" t="s">
        <v>261</v>
      </c>
      <c r="E16" s="26">
        <f>COUNTIF(O9:O14,"Drift")</f>
        <v>3</v>
      </c>
      <c r="F16" s="21" t="s">
        <v>262</v>
      </c>
    </row>
    <row r="17" spans="2:6" x14ac:dyDescent="0.25">
      <c r="B17" s="22" t="s">
        <v>263</v>
      </c>
      <c r="E17" s="26">
        <f>COUNTIF(O9:O14,"Holt-Winters")</f>
        <v>3</v>
      </c>
    </row>
    <row r="20" spans="2:6" x14ac:dyDescent="0.25">
      <c r="B20" s="3" t="s">
        <v>264</v>
      </c>
    </row>
    <row r="21" spans="2:6" ht="20.100000000000001" customHeight="1" x14ac:dyDescent="0.25">
      <c r="B21" s="63"/>
      <c r="C21" s="64"/>
      <c r="D21" s="65"/>
      <c r="E21" s="4" t="s">
        <v>265</v>
      </c>
      <c r="F21" s="4" t="s">
        <v>266</v>
      </c>
    </row>
    <row r="22" spans="2:6" x14ac:dyDescent="0.25">
      <c r="B22" s="61" t="s">
        <v>236</v>
      </c>
      <c r="C22" s="62"/>
      <c r="D22" s="62"/>
      <c r="E22" s="26">
        <f>C5</f>
        <v>6</v>
      </c>
      <c r="F22" s="26">
        <f>TestsUsed</f>
        <v>24</v>
      </c>
    </row>
    <row r="23" spans="2:6" x14ac:dyDescent="0.25">
      <c r="B23" s="61" t="s">
        <v>267</v>
      </c>
      <c r="C23" s="62"/>
      <c r="D23" s="62"/>
      <c r="E23" s="23">
        <v>1</v>
      </c>
      <c r="F23" s="26">
        <f>Horizon</f>
        <v>8</v>
      </c>
    </row>
    <row r="24" spans="2:6" x14ac:dyDescent="0.25">
      <c r="B24" s="61" t="s">
        <v>268</v>
      </c>
      <c r="C24" s="62"/>
      <c r="D24" s="62"/>
      <c r="E24" s="26">
        <f>C5*E23</f>
        <v>6</v>
      </c>
      <c r="F24" s="43">
        <f>Scores!I7</f>
        <v>192</v>
      </c>
    </row>
    <row r="25" spans="2:6" x14ac:dyDescent="0.25">
      <c r="B25" s="61" t="s">
        <v>269</v>
      </c>
      <c r="C25" s="62"/>
      <c r="D25" s="62"/>
      <c r="E25" s="35">
        <f>M15</f>
        <v>9.8724532198150194E-2</v>
      </c>
      <c r="F25" s="44">
        <f>Scores!C7</f>
        <v>8.0024478398840707E-2</v>
      </c>
    </row>
    <row r="26" spans="2:6" x14ac:dyDescent="0.25">
      <c r="B26" s="61" t="s">
        <v>270</v>
      </c>
      <c r="C26" s="62"/>
      <c r="D26" s="62"/>
      <c r="E26" s="35">
        <f>N15</f>
        <v>0.13354077780969828</v>
      </c>
      <c r="F26" s="44">
        <f>Scores!C8</f>
        <v>0.25975189087104561</v>
      </c>
    </row>
  </sheetData>
  <mergeCells count="6">
    <mergeCell ref="B23:D23"/>
    <mergeCell ref="B22:D22"/>
    <mergeCell ref="B26:D26"/>
    <mergeCell ref="B21:D21"/>
    <mergeCell ref="B25:D25"/>
    <mergeCell ref="B24:D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J24"/>
  <sheetViews>
    <sheetView showGridLines="0" workbookViewId="0"/>
  </sheetViews>
  <sheetFormatPr defaultRowHeight="15" x14ac:dyDescent="0.25"/>
  <cols>
    <col min="1" max="1" width="3" customWidth="1"/>
    <col min="2" max="2" width="34" customWidth="1"/>
    <col min="3" max="3" width="13" customWidth="1"/>
    <col min="4" max="5" width="16" customWidth="1"/>
    <col min="6" max="6" width="20" customWidth="1"/>
    <col min="7" max="7" width="16" customWidth="1"/>
    <col min="8" max="9" width="18" customWidth="1"/>
    <col min="10" max="10" width="12" customWidth="1"/>
  </cols>
  <sheetData>
    <row r="1" spans="1:10" ht="18" x14ac:dyDescent="0.25">
      <c r="A1" s="13" t="s">
        <v>271</v>
      </c>
    </row>
    <row r="2" spans="1:10" x14ac:dyDescent="0.25">
      <c r="A2" s="14" t="s">
        <v>272</v>
      </c>
    </row>
    <row r="3" spans="1:10" x14ac:dyDescent="0.25">
      <c r="A3" s="14" t="s">
        <v>273</v>
      </c>
    </row>
    <row r="5" spans="1:10" x14ac:dyDescent="0.25">
      <c r="B5" s="22" t="s">
        <v>274</v>
      </c>
      <c r="C5" s="9" t="str">
        <f>Champion</f>
        <v>seasonal_naive_drift</v>
      </c>
    </row>
    <row r="6" spans="1:10" x14ac:dyDescent="0.25">
      <c r="B6" s="22" t="s">
        <v>133</v>
      </c>
      <c r="C6" s="29">
        <f>LastMonth</f>
        <v>45383</v>
      </c>
    </row>
    <row r="7" spans="1:10" x14ac:dyDescent="0.25">
      <c r="B7" s="22" t="s">
        <v>275</v>
      </c>
      <c r="C7" s="33">
        <f>INDEX(Sales,NMonths)</f>
        <v>550157.88051688671</v>
      </c>
    </row>
    <row r="8" spans="1:10" x14ac:dyDescent="0.25">
      <c r="B8" s="22" t="s">
        <v>166</v>
      </c>
      <c r="C8" s="33">
        <f>INDEX(Sales,NMonths-Season)</f>
        <v>193149.96007275581</v>
      </c>
    </row>
    <row r="9" spans="1:10" x14ac:dyDescent="0.25">
      <c r="B9" s="22" t="s">
        <v>167</v>
      </c>
      <c r="C9" s="19">
        <f>C7/C8</f>
        <v>2.8483458153946963</v>
      </c>
    </row>
    <row r="10" spans="1:10" x14ac:dyDescent="0.25">
      <c r="B10" s="22" t="s">
        <v>276</v>
      </c>
      <c r="C10" s="34">
        <f>MIN(MAX(C9,ClipLow),ClipHigh)</f>
        <v>2.5</v>
      </c>
    </row>
    <row r="11" spans="1:10" x14ac:dyDescent="0.25">
      <c r="B11" s="22" t="s">
        <v>277</v>
      </c>
      <c r="C11" s="12" t="str">
        <f>IF(C9&lt;&gt;C10,"Yes: the cap changes the forecast","No")</f>
        <v>Yes: the cap changes the forecast</v>
      </c>
    </row>
    <row r="12" spans="1:10" ht="39.950000000000003" customHeight="1" x14ac:dyDescent="0.25">
      <c r="B12" s="15" t="s">
        <v>278</v>
      </c>
      <c r="C12" s="15" t="s">
        <v>279</v>
      </c>
      <c r="D12" s="15" t="s">
        <v>280</v>
      </c>
      <c r="E12" s="15" t="s">
        <v>202</v>
      </c>
      <c r="F12" s="15" t="s">
        <v>281</v>
      </c>
      <c r="G12" s="15" t="s">
        <v>282</v>
      </c>
      <c r="H12" s="15" t="s">
        <v>283</v>
      </c>
      <c r="I12" s="15" t="s">
        <v>284</v>
      </c>
      <c r="J12" s="15" t="s">
        <v>285</v>
      </c>
    </row>
    <row r="13" spans="1:10" ht="32.1" customHeight="1" x14ac:dyDescent="0.25">
      <c r="B13" s="4" t="s">
        <v>99</v>
      </c>
      <c r="C13" s="4" t="s">
        <v>286</v>
      </c>
      <c r="D13" s="4" t="s">
        <v>287</v>
      </c>
      <c r="E13" s="4" t="s">
        <v>239</v>
      </c>
      <c r="F13" s="4" t="s">
        <v>240</v>
      </c>
      <c r="G13" s="4" t="s">
        <v>241</v>
      </c>
      <c r="H13" s="4" t="s">
        <v>288</v>
      </c>
      <c r="I13" s="4" t="s">
        <v>289</v>
      </c>
      <c r="J13" s="4" t="s">
        <v>290</v>
      </c>
    </row>
    <row r="14" spans="1:10" x14ac:dyDescent="0.25">
      <c r="B14" s="29">
        <f t="shared" ref="B14:B21" si="0">EDATE($C$6,C14)</f>
        <v>45413</v>
      </c>
      <c r="C14" s="26">
        <f t="shared" ref="C14:C21" si="1">ROW()-ROW($C$13)</f>
        <v>1</v>
      </c>
      <c r="D14" s="33">
        <f t="shared" ref="D14:D21" si="2">INDEX(Sales,NMonths+C14-Season)</f>
        <v>209624.34030818939</v>
      </c>
      <c r="E14" s="33">
        <f t="shared" ref="E14:E21" si="3">D14</f>
        <v>209624.34030818939</v>
      </c>
      <c r="F14" s="33">
        <f t="shared" ref="F14:F21" si="4">D14*$C$10</f>
        <v>524060.85077047348</v>
      </c>
      <c r="G14" s="33">
        <f t="shared" ref="G14:G21" si="5">INDEX(HWProd,C14)</f>
        <v>587529.42406327417</v>
      </c>
      <c r="H14" s="45">
        <f t="shared" ref="H14:H21" si="6">INDEX(E14:G14,MATCH($C$5,$E$13:$G$13,0))</f>
        <v>524060.85077047348</v>
      </c>
      <c r="I14" s="33">
        <f t="shared" ref="I14:I21" si="7">D14*$C$9</f>
        <v>597082.61252170498</v>
      </c>
      <c r="J14" s="35">
        <f t="shared" ref="J14:J22" si="8">I14/H14-1</f>
        <v>0.13933832615787844</v>
      </c>
    </row>
    <row r="15" spans="1:10" x14ac:dyDescent="0.25">
      <c r="B15" s="29">
        <f t="shared" si="0"/>
        <v>45444</v>
      </c>
      <c r="C15" s="26">
        <f t="shared" si="1"/>
        <v>2</v>
      </c>
      <c r="D15" s="33">
        <f t="shared" si="2"/>
        <v>205503.24020504949</v>
      </c>
      <c r="E15" s="33">
        <f t="shared" si="3"/>
        <v>205503.24020504949</v>
      </c>
      <c r="F15" s="33">
        <f t="shared" si="4"/>
        <v>513758.10051262373</v>
      </c>
      <c r="G15" s="33">
        <f t="shared" si="5"/>
        <v>656018.60953160794</v>
      </c>
      <c r="H15" s="45">
        <f t="shared" si="6"/>
        <v>513758.10051262373</v>
      </c>
      <c r="I15" s="33">
        <f t="shared" si="7"/>
        <v>585344.29428810382</v>
      </c>
      <c r="J15" s="35">
        <f t="shared" si="8"/>
        <v>0.13933832615787844</v>
      </c>
    </row>
    <row r="16" spans="1:10" x14ac:dyDescent="0.25">
      <c r="B16" s="29">
        <f t="shared" si="0"/>
        <v>45474</v>
      </c>
      <c r="C16" s="26">
        <f t="shared" si="1"/>
        <v>3</v>
      </c>
      <c r="D16" s="33">
        <f t="shared" si="2"/>
        <v>232777.6403400898</v>
      </c>
      <c r="E16" s="33">
        <f t="shared" si="3"/>
        <v>232777.6403400898</v>
      </c>
      <c r="F16" s="33">
        <f t="shared" si="4"/>
        <v>581944.10085022449</v>
      </c>
      <c r="G16" s="33">
        <f t="shared" si="5"/>
        <v>788823.78246896027</v>
      </c>
      <c r="H16" s="45">
        <f t="shared" si="6"/>
        <v>581944.10085022449</v>
      </c>
      <c r="I16" s="33">
        <f t="shared" si="7"/>
        <v>663031.2177801464</v>
      </c>
      <c r="J16" s="35">
        <f t="shared" si="8"/>
        <v>0.13933832615787844</v>
      </c>
    </row>
    <row r="17" spans="2:10" x14ac:dyDescent="0.25">
      <c r="B17" s="29">
        <f t="shared" si="0"/>
        <v>45505</v>
      </c>
      <c r="C17" s="26">
        <f t="shared" si="1"/>
        <v>4</v>
      </c>
      <c r="D17" s="33">
        <f t="shared" si="2"/>
        <v>246129.77018761629</v>
      </c>
      <c r="E17" s="33">
        <f t="shared" si="3"/>
        <v>246129.77018761629</v>
      </c>
      <c r="F17" s="33">
        <f t="shared" si="4"/>
        <v>615324.42546904075</v>
      </c>
      <c r="G17" s="33">
        <f t="shared" si="5"/>
        <v>894566.13227433769</v>
      </c>
      <c r="H17" s="45">
        <f t="shared" si="6"/>
        <v>615324.42546904075</v>
      </c>
      <c r="I17" s="33">
        <f t="shared" si="7"/>
        <v>701062.70095795509</v>
      </c>
      <c r="J17" s="35">
        <f t="shared" si="8"/>
        <v>0.13933832615787844</v>
      </c>
    </row>
    <row r="18" spans="2:10" x14ac:dyDescent="0.25">
      <c r="B18" s="29">
        <f t="shared" si="0"/>
        <v>45536</v>
      </c>
      <c r="C18" s="26">
        <f t="shared" si="1"/>
        <v>5</v>
      </c>
      <c r="D18" s="33">
        <f t="shared" si="2"/>
        <v>261138.52030706409</v>
      </c>
      <c r="E18" s="33">
        <f t="shared" si="3"/>
        <v>261138.52030706409</v>
      </c>
      <c r="F18" s="33">
        <f t="shared" si="4"/>
        <v>652846.30076766026</v>
      </c>
      <c r="G18" s="33">
        <f t="shared" si="5"/>
        <v>980272.24812575895</v>
      </c>
      <c r="H18" s="45">
        <f t="shared" si="6"/>
        <v>652846.30076766026</v>
      </c>
      <c r="I18" s="33">
        <f t="shared" si="7"/>
        <v>743812.81155498896</v>
      </c>
      <c r="J18" s="35">
        <f t="shared" si="8"/>
        <v>0.13933832615787844</v>
      </c>
    </row>
    <row r="19" spans="2:10" x14ac:dyDescent="0.25">
      <c r="B19" s="29">
        <f t="shared" si="0"/>
        <v>45566</v>
      </c>
      <c r="C19" s="26">
        <f t="shared" si="1"/>
        <v>6</v>
      </c>
      <c r="D19" s="33">
        <f t="shared" si="2"/>
        <v>279981.62028169632</v>
      </c>
      <c r="E19" s="33">
        <f t="shared" si="3"/>
        <v>279981.62028169632</v>
      </c>
      <c r="F19" s="33">
        <f t="shared" si="4"/>
        <v>699954.0507042408</v>
      </c>
      <c r="G19" s="33">
        <f t="shared" si="5"/>
        <v>1206104.0424603319</v>
      </c>
      <c r="H19" s="45">
        <f t="shared" si="6"/>
        <v>699954.0507042408</v>
      </c>
      <c r="I19" s="33">
        <f t="shared" si="7"/>
        <v>797484.47651679651</v>
      </c>
      <c r="J19" s="35">
        <f t="shared" si="8"/>
        <v>0.13933832615787844</v>
      </c>
    </row>
    <row r="20" spans="2:10" x14ac:dyDescent="0.25">
      <c r="B20" s="29">
        <f t="shared" si="0"/>
        <v>45597</v>
      </c>
      <c r="C20" s="26">
        <f t="shared" si="1"/>
        <v>7</v>
      </c>
      <c r="D20" s="33">
        <f t="shared" si="2"/>
        <v>298467.6802778244</v>
      </c>
      <c r="E20" s="33">
        <f t="shared" si="3"/>
        <v>298467.6802778244</v>
      </c>
      <c r="F20" s="33">
        <f t="shared" si="4"/>
        <v>746169.200694561</v>
      </c>
      <c r="G20" s="33">
        <f t="shared" si="5"/>
        <v>1423601.352755388</v>
      </c>
      <c r="H20" s="45">
        <f t="shared" si="6"/>
        <v>746169.200694561</v>
      </c>
      <c r="I20" s="33">
        <f t="shared" si="7"/>
        <v>850139.1681499033</v>
      </c>
      <c r="J20" s="35">
        <f t="shared" si="8"/>
        <v>0.13933832615787867</v>
      </c>
    </row>
    <row r="21" spans="2:10" x14ac:dyDescent="0.25">
      <c r="B21" s="29">
        <f t="shared" si="0"/>
        <v>45627</v>
      </c>
      <c r="C21" s="26">
        <f t="shared" si="1"/>
        <v>8</v>
      </c>
      <c r="D21" s="33">
        <f t="shared" si="2"/>
        <v>326301.66045475012</v>
      </c>
      <c r="E21" s="33">
        <f t="shared" si="3"/>
        <v>326301.66045475012</v>
      </c>
      <c r="F21" s="33">
        <f t="shared" si="4"/>
        <v>815754.15113687527</v>
      </c>
      <c r="G21" s="33">
        <f t="shared" si="5"/>
        <v>1647845.7522459689</v>
      </c>
      <c r="H21" s="45">
        <f t="shared" si="6"/>
        <v>815754.15113687527</v>
      </c>
      <c r="I21" s="33">
        <f t="shared" si="7"/>
        <v>929419.96911262861</v>
      </c>
      <c r="J21" s="35">
        <f t="shared" si="8"/>
        <v>0.13933832615787867</v>
      </c>
    </row>
    <row r="22" spans="2:10" x14ac:dyDescent="0.25">
      <c r="B22" s="22" t="s">
        <v>291</v>
      </c>
      <c r="D22" s="46">
        <f t="shared" ref="D22:I22" si="9">SUM(D14:D21)</f>
        <v>2059924.4723622799</v>
      </c>
      <c r="E22" s="46">
        <f t="shared" si="9"/>
        <v>2059924.4723622799</v>
      </c>
      <c r="F22" s="46">
        <f t="shared" si="9"/>
        <v>5149811.1809056997</v>
      </c>
      <c r="G22" s="46">
        <f t="shared" si="9"/>
        <v>8184761.3439256279</v>
      </c>
      <c r="H22" s="46">
        <f t="shared" si="9"/>
        <v>5149811.1809056997</v>
      </c>
      <c r="I22" s="46">
        <f t="shared" si="9"/>
        <v>5867377.250882227</v>
      </c>
      <c r="J22" s="47">
        <f t="shared" si="8"/>
        <v>0.13933832615787844</v>
      </c>
    </row>
    <row r="24" spans="2:10" x14ac:dyDescent="0.25">
      <c r="B24" s="21" t="s">
        <v>292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I24"/>
  <sheetViews>
    <sheetView showGridLines="0" workbookViewId="0"/>
  </sheetViews>
  <sheetFormatPr defaultRowHeight="15" x14ac:dyDescent="0.25"/>
  <cols>
    <col min="1" max="1" width="3" customWidth="1"/>
    <col min="2" max="2" width="26" customWidth="1"/>
    <col min="3" max="3" width="16" customWidth="1"/>
    <col min="4" max="6" width="14" customWidth="1"/>
    <col min="7" max="7" width="16" customWidth="1"/>
    <col min="8" max="9" width="14" customWidth="1"/>
  </cols>
  <sheetData>
    <row r="1" spans="1:9" ht="18" x14ac:dyDescent="0.25">
      <c r="A1" s="13" t="s">
        <v>293</v>
      </c>
    </row>
    <row r="2" spans="1:9" x14ac:dyDescent="0.25">
      <c r="A2" s="14" t="s">
        <v>294</v>
      </c>
    </row>
    <row r="3" spans="1:9" x14ac:dyDescent="0.25">
      <c r="A3" s="14" t="s">
        <v>295</v>
      </c>
    </row>
    <row r="5" spans="1:9" x14ac:dyDescent="0.25">
      <c r="B5" s="22" t="s">
        <v>296</v>
      </c>
      <c r="C5" s="35">
        <f>INDEX(Margin,NMonths)</f>
        <v>0.51848982521615372</v>
      </c>
    </row>
    <row r="6" spans="1:9" x14ac:dyDescent="0.25">
      <c r="B6" s="22" t="s">
        <v>144</v>
      </c>
      <c r="D6" s="48">
        <f>Settings!$C$18</f>
        <v>1</v>
      </c>
      <c r="E6" s="48">
        <f>Settings!$C$19</f>
        <v>1.1000000000000001</v>
      </c>
      <c r="F6" s="48">
        <f>Settings!$C$20</f>
        <v>0.9</v>
      </c>
    </row>
    <row r="7" spans="1:9" x14ac:dyDescent="0.25">
      <c r="B7" s="22" t="s">
        <v>297</v>
      </c>
      <c r="G7" s="35">
        <f>$C$5+Settings!$D$18/100</f>
        <v>0.51848982521615372</v>
      </c>
      <c r="H7" s="35">
        <f>$C$5+Settings!$D$19/100</f>
        <v>0.52348982521615373</v>
      </c>
      <c r="I7" s="35">
        <f>$C$5+Settings!$D$20/100</f>
        <v>0.4984898252161537</v>
      </c>
    </row>
    <row r="8" spans="1:9" ht="32.1" customHeight="1" x14ac:dyDescent="0.25">
      <c r="B8" s="4" t="s">
        <v>99</v>
      </c>
      <c r="C8" s="4" t="s">
        <v>288</v>
      </c>
      <c r="D8" s="4" t="s">
        <v>298</v>
      </c>
      <c r="E8" s="4" t="s">
        <v>299</v>
      </c>
      <c r="F8" s="4" t="s">
        <v>300</v>
      </c>
      <c r="G8" s="4" t="s">
        <v>301</v>
      </c>
      <c r="H8" s="4" t="s">
        <v>302</v>
      </c>
      <c r="I8" s="4" t="s">
        <v>303</v>
      </c>
    </row>
    <row r="9" spans="1:9" x14ac:dyDescent="0.25">
      <c r="B9" s="49">
        <f>Forecast!B14</f>
        <v>45413</v>
      </c>
      <c r="C9" s="50">
        <f>Forecast!H14</f>
        <v>524060.85077047348</v>
      </c>
      <c r="D9" s="33">
        <f t="shared" ref="D9:F16" si="0">$C9*D$6</f>
        <v>524060.85077047348</v>
      </c>
      <c r="E9" s="33">
        <f t="shared" si="0"/>
        <v>576466.93584752083</v>
      </c>
      <c r="F9" s="33">
        <f t="shared" si="0"/>
        <v>471654.76569342613</v>
      </c>
      <c r="G9" s="33">
        <f t="shared" ref="G9:I16" si="1">D9*G$7</f>
        <v>271720.21891861159</v>
      </c>
      <c r="H9" s="33">
        <f t="shared" si="1"/>
        <v>301774.57548971038</v>
      </c>
      <c r="I9" s="33">
        <f t="shared" si="1"/>
        <v>235115.10171288191</v>
      </c>
    </row>
    <row r="10" spans="1:9" x14ac:dyDescent="0.25">
      <c r="B10" s="49">
        <f>Forecast!B15</f>
        <v>45444</v>
      </c>
      <c r="C10" s="50">
        <f>Forecast!H15</f>
        <v>513758.10051262373</v>
      </c>
      <c r="D10" s="33">
        <f t="shared" si="0"/>
        <v>513758.10051262373</v>
      </c>
      <c r="E10" s="33">
        <f t="shared" si="0"/>
        <v>565133.91056388617</v>
      </c>
      <c r="F10" s="33">
        <f t="shared" si="0"/>
        <v>462382.29046136135</v>
      </c>
      <c r="G10" s="33">
        <f t="shared" si="1"/>
        <v>266378.34773817344</v>
      </c>
      <c r="H10" s="33">
        <f t="shared" si="1"/>
        <v>295841.85206481023</v>
      </c>
      <c r="I10" s="33">
        <f t="shared" si="1"/>
        <v>230492.86715512883</v>
      </c>
    </row>
    <row r="11" spans="1:9" x14ac:dyDescent="0.25">
      <c r="B11" s="49">
        <f>Forecast!B16</f>
        <v>45474</v>
      </c>
      <c r="C11" s="50">
        <f>Forecast!H16</f>
        <v>581944.10085022449</v>
      </c>
      <c r="D11" s="33">
        <f t="shared" si="0"/>
        <v>581944.10085022449</v>
      </c>
      <c r="E11" s="33">
        <f t="shared" si="0"/>
        <v>640138.51093524694</v>
      </c>
      <c r="F11" s="33">
        <f t="shared" si="0"/>
        <v>523749.69076520205</v>
      </c>
      <c r="G11" s="33">
        <f t="shared" si="1"/>
        <v>301732.09513540461</v>
      </c>
      <c r="H11" s="33">
        <f t="shared" si="1"/>
        <v>335105.99720362131</v>
      </c>
      <c r="I11" s="33">
        <f t="shared" si="1"/>
        <v>261083.89180656013</v>
      </c>
    </row>
    <row r="12" spans="1:9" x14ac:dyDescent="0.25">
      <c r="B12" s="49">
        <f>Forecast!B17</f>
        <v>45505</v>
      </c>
      <c r="C12" s="50">
        <f>Forecast!H17</f>
        <v>615324.42546904075</v>
      </c>
      <c r="D12" s="33">
        <f t="shared" si="0"/>
        <v>615324.42546904075</v>
      </c>
      <c r="E12" s="33">
        <f t="shared" si="0"/>
        <v>676856.86801594484</v>
      </c>
      <c r="F12" s="33">
        <f t="shared" si="0"/>
        <v>553791.98292213667</v>
      </c>
      <c r="G12" s="33">
        <f t="shared" si="1"/>
        <v>319039.45381267316</v>
      </c>
      <c r="H12" s="33">
        <f t="shared" si="1"/>
        <v>354327.68353402021</v>
      </c>
      <c r="I12" s="33">
        <f t="shared" si="1"/>
        <v>276059.66877296311</v>
      </c>
    </row>
    <row r="13" spans="1:9" x14ac:dyDescent="0.25">
      <c r="B13" s="49">
        <f>Forecast!B18</f>
        <v>45536</v>
      </c>
      <c r="C13" s="50">
        <f>Forecast!H18</f>
        <v>652846.30076766026</v>
      </c>
      <c r="D13" s="33">
        <f t="shared" si="0"/>
        <v>652846.30076766026</v>
      </c>
      <c r="E13" s="33">
        <f t="shared" si="0"/>
        <v>718130.93084442639</v>
      </c>
      <c r="F13" s="33">
        <f t="shared" si="0"/>
        <v>587561.67069089424</v>
      </c>
      <c r="G13" s="33">
        <f t="shared" si="1"/>
        <v>338494.16437803669</v>
      </c>
      <c r="H13" s="33">
        <f t="shared" si="1"/>
        <v>375934.23547006253</v>
      </c>
      <c r="I13" s="33">
        <f t="shared" si="1"/>
        <v>292893.51452641515</v>
      </c>
    </row>
    <row r="14" spans="1:9" x14ac:dyDescent="0.25">
      <c r="B14" s="49">
        <f>Forecast!B19</f>
        <v>45566</v>
      </c>
      <c r="C14" s="50">
        <f>Forecast!H19</f>
        <v>699954.0507042408</v>
      </c>
      <c r="D14" s="33">
        <f t="shared" si="0"/>
        <v>699954.0507042408</v>
      </c>
      <c r="E14" s="33">
        <f t="shared" si="0"/>
        <v>769949.455774665</v>
      </c>
      <c r="F14" s="33">
        <f t="shared" si="0"/>
        <v>629958.64563381672</v>
      </c>
      <c r="G14" s="33">
        <f t="shared" si="1"/>
        <v>362919.0534089806</v>
      </c>
      <c r="H14" s="33">
        <f t="shared" si="1"/>
        <v>403060.70602875209</v>
      </c>
      <c r="I14" s="33">
        <f t="shared" si="1"/>
        <v>314027.97515540622</v>
      </c>
    </row>
    <row r="15" spans="1:9" x14ac:dyDescent="0.25">
      <c r="B15" s="49">
        <f>Forecast!B20</f>
        <v>45597</v>
      </c>
      <c r="C15" s="50">
        <f>Forecast!H20</f>
        <v>746169.200694561</v>
      </c>
      <c r="D15" s="33">
        <f t="shared" si="0"/>
        <v>746169.200694561</v>
      </c>
      <c r="E15" s="33">
        <f t="shared" si="0"/>
        <v>820786.12076401722</v>
      </c>
      <c r="F15" s="33">
        <f t="shared" si="0"/>
        <v>671552.2806251049</v>
      </c>
      <c r="G15" s="33">
        <f t="shared" si="1"/>
        <v>386881.13844980008</v>
      </c>
      <c r="H15" s="33">
        <f t="shared" si="1"/>
        <v>429673.18289860024</v>
      </c>
      <c r="I15" s="33">
        <f t="shared" si="1"/>
        <v>334761.97899231792</v>
      </c>
    </row>
    <row r="16" spans="1:9" x14ac:dyDescent="0.25">
      <c r="B16" s="49">
        <f>Forecast!B21</f>
        <v>45627</v>
      </c>
      <c r="C16" s="50">
        <f>Forecast!H21</f>
        <v>815754.15113687527</v>
      </c>
      <c r="D16" s="33">
        <f t="shared" si="0"/>
        <v>815754.15113687527</v>
      </c>
      <c r="E16" s="33">
        <f t="shared" si="0"/>
        <v>897329.5662505629</v>
      </c>
      <c r="F16" s="33">
        <f t="shared" si="0"/>
        <v>734178.73602318775</v>
      </c>
      <c r="G16" s="33">
        <f t="shared" si="1"/>
        <v>422960.2272423103</v>
      </c>
      <c r="H16" s="33">
        <f t="shared" si="1"/>
        <v>469742.8977977942</v>
      </c>
      <c r="I16" s="33">
        <f t="shared" si="1"/>
        <v>365980.62979761552</v>
      </c>
    </row>
    <row r="17" spans="2:9" x14ac:dyDescent="0.25">
      <c r="B17" s="22" t="s">
        <v>291</v>
      </c>
      <c r="C17" s="46">
        <f t="shared" ref="C17:I17" si="2">SUM(C9:C16)</f>
        <v>5149811.1809056997</v>
      </c>
      <c r="D17" s="46">
        <f t="shared" si="2"/>
        <v>5149811.1809056997</v>
      </c>
      <c r="E17" s="46">
        <f t="shared" si="2"/>
        <v>5664792.2989962697</v>
      </c>
      <c r="F17" s="46">
        <f t="shared" si="2"/>
        <v>4634830.0628151298</v>
      </c>
      <c r="G17" s="46">
        <f t="shared" si="2"/>
        <v>2670124.6990839904</v>
      </c>
      <c r="H17" s="46">
        <f t="shared" si="2"/>
        <v>2965461.1304873708</v>
      </c>
      <c r="I17" s="46">
        <f t="shared" si="2"/>
        <v>2310415.6279192888</v>
      </c>
    </row>
    <row r="20" spans="2:9" x14ac:dyDescent="0.25">
      <c r="B20" s="3" t="s">
        <v>304</v>
      </c>
    </row>
    <row r="21" spans="2:9" ht="20.100000000000001" customHeight="1" x14ac:dyDescent="0.25">
      <c r="B21" s="4" t="s">
        <v>143</v>
      </c>
      <c r="C21" s="4" t="s">
        <v>305</v>
      </c>
      <c r="D21" s="4" t="s">
        <v>306</v>
      </c>
      <c r="E21" s="4" t="s">
        <v>307</v>
      </c>
      <c r="F21" s="4" t="s">
        <v>144</v>
      </c>
      <c r="G21" s="4" t="s">
        <v>146</v>
      </c>
    </row>
    <row r="22" spans="2:9" x14ac:dyDescent="0.25">
      <c r="B22" s="22" t="s">
        <v>147</v>
      </c>
      <c r="C22" s="51">
        <f>D17</f>
        <v>5149811.1809056997</v>
      </c>
      <c r="D22" s="51">
        <f>G17</f>
        <v>2670124.6990839904</v>
      </c>
      <c r="E22" s="35">
        <f>G7</f>
        <v>0.51848982521615372</v>
      </c>
      <c r="F22" s="20">
        <f>D6</f>
        <v>1</v>
      </c>
      <c r="G22" s="9" t="str">
        <f>Settings!$E$18</f>
        <v>Current trend continues; no change to pricing or promotion intensity.</v>
      </c>
    </row>
    <row r="23" spans="2:9" x14ac:dyDescent="0.25">
      <c r="B23" s="22" t="s">
        <v>149</v>
      </c>
      <c r="C23" s="51">
        <f>E17</f>
        <v>5664792.2989962697</v>
      </c>
      <c r="D23" s="51">
        <f>H17</f>
        <v>2965461.1304873708</v>
      </c>
      <c r="E23" s="35">
        <f>H7</f>
        <v>0.52348982521615373</v>
      </c>
      <c r="F23" s="20">
        <f>E6</f>
        <v>1.1000000000000001</v>
      </c>
      <c r="G23" s="9" t="str">
        <f>Settings!$E$19</f>
        <v>Peak-season sell-through runs 10% ahead with a modest mix benefit.</v>
      </c>
    </row>
    <row r="24" spans="2:9" x14ac:dyDescent="0.25">
      <c r="B24" s="22" t="s">
        <v>151</v>
      </c>
      <c r="C24" s="51">
        <f>F17</f>
        <v>4634830.0628151298</v>
      </c>
      <c r="D24" s="51">
        <f>I17</f>
        <v>2310415.6279192888</v>
      </c>
      <c r="E24" s="35">
        <f>I7</f>
        <v>0.4984898252161537</v>
      </c>
      <c r="F24" s="20">
        <f>F6</f>
        <v>0.9</v>
      </c>
      <c r="G24" s="9" t="str">
        <f>Settings!$E$20</f>
        <v>Demand softens 10% and clearing aged stock costs 2 points of margin.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K40"/>
  <sheetViews>
    <sheetView showGridLines="0" workbookViewId="0"/>
  </sheetViews>
  <sheetFormatPr defaultRowHeight="15" x14ac:dyDescent="0.25"/>
  <cols>
    <col min="1" max="1" width="3" customWidth="1"/>
    <col min="2" max="2" width="18" customWidth="1"/>
    <col min="3" max="8" width="12" customWidth="1"/>
    <col min="9" max="9" width="14" customWidth="1"/>
    <col min="10" max="10" width="10" customWidth="1"/>
    <col min="11" max="12" width="12" customWidth="1"/>
  </cols>
  <sheetData>
    <row r="1" spans="1:10" ht="18" x14ac:dyDescent="0.25">
      <c r="A1" s="13" t="s">
        <v>308</v>
      </c>
    </row>
    <row r="2" spans="1:10" x14ac:dyDescent="0.25">
      <c r="A2" s="14" t="s">
        <v>309</v>
      </c>
    </row>
    <row r="3" spans="1:10" x14ac:dyDescent="0.25">
      <c r="A3" s="14" t="s">
        <v>310</v>
      </c>
    </row>
    <row r="6" spans="1:10" ht="20.100000000000001" customHeight="1" x14ac:dyDescent="0.25">
      <c r="B6" s="4" t="s">
        <v>311</v>
      </c>
      <c r="C6" s="4" t="s">
        <v>312</v>
      </c>
      <c r="D6" s="4" t="s">
        <v>313</v>
      </c>
      <c r="E6" s="4" t="s">
        <v>314</v>
      </c>
      <c r="F6" s="4" t="s">
        <v>315</v>
      </c>
      <c r="G6" s="4" t="s">
        <v>316</v>
      </c>
      <c r="H6" s="4" t="s">
        <v>317</v>
      </c>
      <c r="I6" s="4" t="s">
        <v>318</v>
      </c>
      <c r="J6" s="4" t="s">
        <v>319</v>
      </c>
    </row>
    <row r="7" spans="1:10" x14ac:dyDescent="0.25">
      <c r="B7" s="22" t="s">
        <v>320</v>
      </c>
      <c r="C7" s="17">
        <v>104507.2401659489</v>
      </c>
      <c r="D7" s="17">
        <v>112846.56011176109</v>
      </c>
      <c r="E7" s="17">
        <v>115628.3800617456</v>
      </c>
      <c r="F7" s="17">
        <v>124008.68005706739</v>
      </c>
      <c r="G7" s="17">
        <v>152428.92007172111</v>
      </c>
      <c r="H7" s="17">
        <v>185531.85011482239</v>
      </c>
      <c r="I7" s="33">
        <f t="shared" ref="I7:I19" si="0">SUM(C7:H7)</f>
        <v>794951.63058306649</v>
      </c>
      <c r="J7" s="42">
        <f t="shared" ref="J7:J19" si="1">I7/$I$20</f>
        <v>0.3387137587142835</v>
      </c>
    </row>
    <row r="8" spans="1:10" x14ac:dyDescent="0.25">
      <c r="B8" s="22" t="s">
        <v>321</v>
      </c>
      <c r="C8" s="17">
        <v>67673.560036420822</v>
      </c>
      <c r="D8" s="17">
        <v>73608.110050678253</v>
      </c>
      <c r="E8" s="17">
        <v>82828.400170326233</v>
      </c>
      <c r="F8" s="17">
        <v>83745.670099258423</v>
      </c>
      <c r="G8" s="17">
        <v>96724.070161819458</v>
      </c>
      <c r="H8" s="17">
        <v>130406.3902118206</v>
      </c>
      <c r="I8" s="33">
        <f t="shared" si="0"/>
        <v>534986.20073032379</v>
      </c>
      <c r="J8" s="42">
        <f t="shared" si="1"/>
        <v>0.22794743722549962</v>
      </c>
    </row>
    <row r="9" spans="1:10" x14ac:dyDescent="0.25">
      <c r="B9" s="22" t="s">
        <v>322</v>
      </c>
      <c r="C9" s="17">
        <v>38990.740032196038</v>
      </c>
      <c r="D9" s="17">
        <v>44368.470067739487</v>
      </c>
      <c r="E9" s="17">
        <v>46614.55999924615</v>
      </c>
      <c r="F9" s="17">
        <v>53390.010068416603</v>
      </c>
      <c r="G9" s="17">
        <v>62326.490092039108</v>
      </c>
      <c r="H9" s="17">
        <v>80200.830058693886</v>
      </c>
      <c r="I9" s="33">
        <f t="shared" si="0"/>
        <v>325891.10031833127</v>
      </c>
      <c r="J9" s="42">
        <f t="shared" si="1"/>
        <v>0.13885599484762781</v>
      </c>
    </row>
    <row r="10" spans="1:10" x14ac:dyDescent="0.25">
      <c r="B10" s="22" t="s">
        <v>323</v>
      </c>
      <c r="C10" s="17">
        <v>15628.189987182621</v>
      </c>
      <c r="D10" s="17">
        <v>17468.070033073429</v>
      </c>
      <c r="E10" s="17">
        <v>20951.510039567951</v>
      </c>
      <c r="F10" s="17">
        <v>23463.41003274918</v>
      </c>
      <c r="G10" s="17">
        <v>23242.250044584271</v>
      </c>
      <c r="H10" s="17">
        <v>29344.83999252319</v>
      </c>
      <c r="I10" s="33">
        <f t="shared" si="0"/>
        <v>130098.27012968065</v>
      </c>
      <c r="J10" s="42">
        <f t="shared" si="1"/>
        <v>5.5432396617048955E-2</v>
      </c>
    </row>
    <row r="11" spans="1:10" x14ac:dyDescent="0.25">
      <c r="B11" s="22" t="s">
        <v>324</v>
      </c>
      <c r="C11" s="17">
        <v>16709.82002162933</v>
      </c>
      <c r="D11" s="17">
        <v>20871.840036392208</v>
      </c>
      <c r="E11" s="17">
        <v>15112.890004634861</v>
      </c>
      <c r="F11" s="17">
        <v>18019.730007171631</v>
      </c>
      <c r="G11" s="17">
        <v>20130.979990243912</v>
      </c>
      <c r="H11" s="17">
        <v>24033.840033054352</v>
      </c>
      <c r="I11" s="33">
        <f t="shared" si="0"/>
        <v>114879.1000931263</v>
      </c>
      <c r="J11" s="42">
        <f t="shared" si="1"/>
        <v>4.8947797945539627E-2</v>
      </c>
    </row>
    <row r="12" spans="1:10" x14ac:dyDescent="0.25">
      <c r="B12" s="22" t="s">
        <v>325</v>
      </c>
      <c r="C12" s="17">
        <v>14055.34002351761</v>
      </c>
      <c r="D12" s="17">
        <v>16185.45003557205</v>
      </c>
      <c r="E12" s="17">
        <v>13212.30001449585</v>
      </c>
      <c r="F12" s="17">
        <v>20001.200005531311</v>
      </c>
      <c r="G12" s="17">
        <v>22558.260053396221</v>
      </c>
      <c r="H12" s="17">
        <v>22325.460022926331</v>
      </c>
      <c r="I12" s="33">
        <f t="shared" si="0"/>
        <v>108338.01015543938</v>
      </c>
      <c r="J12" s="42">
        <f t="shared" si="1"/>
        <v>4.616076402593236E-2</v>
      </c>
    </row>
    <row r="13" spans="1:10" x14ac:dyDescent="0.25">
      <c r="B13" s="22" t="s">
        <v>326</v>
      </c>
      <c r="C13" s="17">
        <v>11444.90001678467</v>
      </c>
      <c r="D13" s="17">
        <v>11170.59002304077</v>
      </c>
      <c r="E13" s="17">
        <v>17645.910002231602</v>
      </c>
      <c r="F13" s="17">
        <v>15667.580006837839</v>
      </c>
      <c r="G13" s="17">
        <v>22462.200027227402</v>
      </c>
      <c r="H13" s="17">
        <v>24779.629995346069</v>
      </c>
      <c r="I13" s="33">
        <f t="shared" si="0"/>
        <v>103170.81007146835</v>
      </c>
      <c r="J13" s="42">
        <f t="shared" si="1"/>
        <v>4.3959118422429562E-2</v>
      </c>
    </row>
    <row r="14" spans="1:10" x14ac:dyDescent="0.25">
      <c r="B14" s="22" t="s">
        <v>327</v>
      </c>
      <c r="C14" s="17">
        <v>11718.389997005461</v>
      </c>
      <c r="D14" s="17">
        <v>15034.640053749081</v>
      </c>
      <c r="E14" s="17">
        <v>13330.139993667601</v>
      </c>
      <c r="F14" s="17">
        <v>12861.70000171661</v>
      </c>
      <c r="G14" s="17">
        <v>16953.69999504089</v>
      </c>
      <c r="H14" s="17">
        <v>22331.570045948029</v>
      </c>
      <c r="I14" s="33">
        <f t="shared" si="0"/>
        <v>92230.140087127671</v>
      </c>
      <c r="J14" s="42">
        <f t="shared" si="1"/>
        <v>3.9297507186371664E-2</v>
      </c>
    </row>
    <row r="15" spans="1:10" x14ac:dyDescent="0.25">
      <c r="B15" s="22" t="s">
        <v>328</v>
      </c>
      <c r="C15" s="17">
        <v>6789.7699747085571</v>
      </c>
      <c r="D15" s="17">
        <v>5685.4000353813171</v>
      </c>
      <c r="E15" s="17">
        <v>9202.2000141143799</v>
      </c>
      <c r="F15" s="17">
        <v>10818.259965419769</v>
      </c>
      <c r="G15" s="17">
        <v>8671.8600101470947</v>
      </c>
      <c r="H15" s="17">
        <v>11898.340030431749</v>
      </c>
      <c r="I15" s="33">
        <f t="shared" si="0"/>
        <v>53065.830030202866</v>
      </c>
      <c r="J15" s="42">
        <f t="shared" si="1"/>
        <v>2.2610340123008464E-2</v>
      </c>
    </row>
    <row r="16" spans="1:10" x14ac:dyDescent="0.25">
      <c r="B16" s="22" t="s">
        <v>329</v>
      </c>
      <c r="C16" s="17">
        <v>6803.0900001525879</v>
      </c>
      <c r="D16" s="17">
        <v>4378.279994726181</v>
      </c>
      <c r="E16" s="17">
        <v>7915.3300013542184</v>
      </c>
      <c r="F16" s="17">
        <v>12138.220011949539</v>
      </c>
      <c r="G16" s="17">
        <v>9352.300003528595</v>
      </c>
      <c r="H16" s="17">
        <v>11187.70000267029</v>
      </c>
      <c r="I16" s="33">
        <f t="shared" si="0"/>
        <v>51774.920014381409</v>
      </c>
      <c r="J16" s="42">
        <f t="shared" si="1"/>
        <v>2.2060307936395934E-2</v>
      </c>
    </row>
    <row r="17" spans="2:11" x14ac:dyDescent="0.25">
      <c r="B17" s="22" t="s">
        <v>330</v>
      </c>
      <c r="C17" s="17">
        <v>3288.7300128936772</v>
      </c>
      <c r="D17" s="17">
        <v>4131.6100187301636</v>
      </c>
      <c r="E17" s="17">
        <v>4912.8900012969971</v>
      </c>
      <c r="F17" s="17">
        <v>4382.8000164031982</v>
      </c>
      <c r="G17" s="17">
        <v>5609.7800054550171</v>
      </c>
      <c r="H17" s="17">
        <v>6974.5800065994263</v>
      </c>
      <c r="I17" s="33">
        <f t="shared" si="0"/>
        <v>29300.390061378479</v>
      </c>
      <c r="J17" s="42">
        <f t="shared" si="1"/>
        <v>1.2484338502714864E-2</v>
      </c>
    </row>
    <row r="18" spans="2:11" x14ac:dyDescent="0.25">
      <c r="B18" s="22" t="s">
        <v>331</v>
      </c>
      <c r="C18" s="17">
        <v>857.91000938415527</v>
      </c>
      <c r="D18" s="17">
        <v>306.88999557495117</v>
      </c>
      <c r="E18" s="17">
        <v>1383.2299957275391</v>
      </c>
      <c r="F18" s="17">
        <v>3288.559993743896</v>
      </c>
      <c r="G18" s="17">
        <v>873.40000534057617</v>
      </c>
      <c r="H18" s="17">
        <v>717.84000086784363</v>
      </c>
      <c r="I18" s="33">
        <f t="shared" si="0"/>
        <v>7427.8300006389618</v>
      </c>
      <c r="J18" s="42">
        <f t="shared" si="1"/>
        <v>3.1648569822566681E-3</v>
      </c>
    </row>
    <row r="19" spans="2:11" x14ac:dyDescent="0.25">
      <c r="B19" s="22" t="s">
        <v>332</v>
      </c>
      <c r="C19" s="17">
        <v>0</v>
      </c>
      <c r="D19" s="17">
        <v>245.74999833106989</v>
      </c>
      <c r="E19" s="17">
        <v>0</v>
      </c>
      <c r="F19" s="17">
        <v>186.7799987792969</v>
      </c>
      <c r="G19" s="17">
        <v>0</v>
      </c>
      <c r="H19" s="17">
        <v>425.01000118255621</v>
      </c>
      <c r="I19" s="33">
        <f t="shared" si="0"/>
        <v>857.53999829292297</v>
      </c>
      <c r="J19" s="42">
        <f t="shared" si="1"/>
        <v>3.6538147089099559E-4</v>
      </c>
    </row>
    <row r="20" spans="2:11" x14ac:dyDescent="0.25">
      <c r="B20" s="22" t="s">
        <v>333</v>
      </c>
      <c r="C20" s="46">
        <f t="shared" ref="C20:J20" si="2">SUM(C7:C19)</f>
        <v>298467.68027782446</v>
      </c>
      <c r="D20" s="46">
        <f t="shared" si="2"/>
        <v>326301.66045475006</v>
      </c>
      <c r="E20" s="46">
        <f t="shared" si="2"/>
        <v>348737.74029840896</v>
      </c>
      <c r="F20" s="46">
        <f t="shared" si="2"/>
        <v>381972.60026504472</v>
      </c>
      <c r="G20" s="46">
        <f t="shared" si="2"/>
        <v>441334.21046054363</v>
      </c>
      <c r="H20" s="46">
        <f t="shared" si="2"/>
        <v>550157.88051688671</v>
      </c>
      <c r="I20" s="46">
        <f t="shared" si="2"/>
        <v>2346971.7722734585</v>
      </c>
      <c r="J20" s="47">
        <f t="shared" si="2"/>
        <v>1</v>
      </c>
    </row>
    <row r="23" spans="2:11" x14ac:dyDescent="0.25">
      <c r="B23" s="3" t="s">
        <v>334</v>
      </c>
    </row>
    <row r="24" spans="2:11" ht="20.100000000000001" customHeight="1" x14ac:dyDescent="0.25">
      <c r="B24" s="4" t="s">
        <v>311</v>
      </c>
      <c r="C24" s="4" t="s">
        <v>319</v>
      </c>
      <c r="D24" s="52">
        <f>INDEX(FcMonths,1)</f>
        <v>45413</v>
      </c>
      <c r="E24" s="52">
        <f>INDEX(FcMonths,2)</f>
        <v>45444</v>
      </c>
      <c r="F24" s="52">
        <f>INDEX(FcMonths,3)</f>
        <v>45474</v>
      </c>
      <c r="G24" s="52">
        <f>INDEX(FcMonths,4)</f>
        <v>45505</v>
      </c>
      <c r="H24" s="52">
        <f>INDEX(FcMonths,5)</f>
        <v>45536</v>
      </c>
      <c r="I24" s="52">
        <f>INDEX(FcMonths,6)</f>
        <v>45566</v>
      </c>
      <c r="J24" s="52">
        <f>INDEX(FcMonths,7)</f>
        <v>45597</v>
      </c>
      <c r="K24" s="52">
        <f>INDEX(FcMonths,8)</f>
        <v>45627</v>
      </c>
    </row>
    <row r="25" spans="2:11" x14ac:dyDescent="0.25">
      <c r="B25" s="22" t="s">
        <v>335</v>
      </c>
      <c r="D25" s="50">
        <f>INDEX(FcChosen,1)</f>
        <v>524060.85077047348</v>
      </c>
      <c r="E25" s="50">
        <f>INDEX(FcChosen,2)</f>
        <v>513758.10051262373</v>
      </c>
      <c r="F25" s="50">
        <f>INDEX(FcChosen,3)</f>
        <v>581944.10085022449</v>
      </c>
      <c r="G25" s="50">
        <f>INDEX(FcChosen,4)</f>
        <v>615324.42546904075</v>
      </c>
      <c r="H25" s="50">
        <f>INDEX(FcChosen,5)</f>
        <v>652846.30076766026</v>
      </c>
      <c r="I25" s="50">
        <f>INDEX(FcChosen,6)</f>
        <v>699954.0507042408</v>
      </c>
      <c r="J25" s="50">
        <f>INDEX(FcChosen,7)</f>
        <v>746169.200694561</v>
      </c>
      <c r="K25" s="50">
        <f>INDEX(FcChosen,8)</f>
        <v>815754.15113687527</v>
      </c>
    </row>
    <row r="26" spans="2:11" x14ac:dyDescent="0.25">
      <c r="B26" s="22" t="str">
        <f t="shared" ref="B26:B38" si="3">B7</f>
        <v>China</v>
      </c>
      <c r="C26" s="35">
        <f t="shared" ref="C26:C38" si="4">J7</f>
        <v>0.3387137587142835</v>
      </c>
      <c r="D26" s="33">
        <f t="shared" ref="D26:K38" si="5">D$25*$C26</f>
        <v>177506.6205594723</v>
      </c>
      <c r="E26" s="33">
        <f t="shared" si="5"/>
        <v>174016.93729454145</v>
      </c>
      <c r="F26" s="33">
        <f t="shared" si="5"/>
        <v>197112.47376058361</v>
      </c>
      <c r="G26" s="33">
        <f t="shared" si="5"/>
        <v>208418.84897932579</v>
      </c>
      <c r="H26" s="33">
        <f t="shared" si="5"/>
        <v>221128.02439572982</v>
      </c>
      <c r="I26" s="33">
        <f t="shared" si="5"/>
        <v>237084.06744132156</v>
      </c>
      <c r="J26" s="33">
        <f t="shared" si="5"/>
        <v>252737.77460408732</v>
      </c>
      <c r="K26" s="33">
        <f t="shared" si="5"/>
        <v>276307.15471835074</v>
      </c>
    </row>
    <row r="27" spans="2:11" x14ac:dyDescent="0.25">
      <c r="B27" s="22" t="str">
        <f t="shared" si="3"/>
        <v>United States</v>
      </c>
      <c r="C27" s="35">
        <f t="shared" si="4"/>
        <v>0.22794743722549962</v>
      </c>
      <c r="D27" s="33">
        <f t="shared" si="5"/>
        <v>119458.32788334443</v>
      </c>
      <c r="E27" s="33">
        <f t="shared" si="5"/>
        <v>117109.84236569323</v>
      </c>
      <c r="F27" s="33">
        <f t="shared" si="5"/>
        <v>132652.66639730637</v>
      </c>
      <c r="G27" s="33">
        <f t="shared" si="5"/>
        <v>140261.62584792078</v>
      </c>
      <c r="H27" s="33">
        <f t="shared" si="5"/>
        <v>148814.64116213587</v>
      </c>
      <c r="I27" s="33">
        <f t="shared" si="5"/>
        <v>159552.7320336391</v>
      </c>
      <c r="J27" s="33">
        <f t="shared" si="5"/>
        <v>170087.35703492467</v>
      </c>
      <c r="K27" s="33">
        <f t="shared" si="5"/>
        <v>185949.0681577136</v>
      </c>
    </row>
    <row r="28" spans="2:11" x14ac:dyDescent="0.25">
      <c r="B28" s="22" t="str">
        <f t="shared" si="3"/>
        <v>Brazil</v>
      </c>
      <c r="C28" s="35">
        <f t="shared" si="4"/>
        <v>0.13885599484762781</v>
      </c>
      <c r="D28" s="33">
        <f t="shared" si="5"/>
        <v>72768.990794428319</v>
      </c>
      <c r="E28" s="33">
        <f t="shared" si="5"/>
        <v>71338.392157707931</v>
      </c>
      <c r="F28" s="33">
        <f t="shared" si="5"/>
        <v>80806.427069266167</v>
      </c>
      <c r="G28" s="33">
        <f t="shared" si="5"/>
        <v>85441.485252548664</v>
      </c>
      <c r="H28" s="33">
        <f t="shared" si="5"/>
        <v>90651.622575687114</v>
      </c>
      <c r="I28" s="33">
        <f t="shared" si="5"/>
        <v>97192.816058164273</v>
      </c>
      <c r="J28" s="33">
        <f t="shared" si="5"/>
        <v>103610.06668710253</v>
      </c>
      <c r="K28" s="33">
        <f t="shared" si="5"/>
        <v>113272.35420719296</v>
      </c>
    </row>
    <row r="29" spans="2:11" x14ac:dyDescent="0.25">
      <c r="B29" s="22" t="str">
        <f t="shared" si="3"/>
        <v>South Korea</v>
      </c>
      <c r="C29" s="35">
        <f t="shared" si="4"/>
        <v>5.5432396617048955E-2</v>
      </c>
      <c r="D29" s="33">
        <f t="shared" si="5"/>
        <v>29049.948931376992</v>
      </c>
      <c r="E29" s="33">
        <f t="shared" si="5"/>
        <v>28478.842792837462</v>
      </c>
      <c r="F29" s="33">
        <f t="shared" si="5"/>
        <v>32258.556207281581</v>
      </c>
      <c r="G29" s="33">
        <f t="shared" si="5"/>
        <v>34108.907600757644</v>
      </c>
      <c r="H29" s="33">
        <f t="shared" si="5"/>
        <v>36188.835074126175</v>
      </c>
      <c r="I29" s="33">
        <f t="shared" si="5"/>
        <v>38800.130552347473</v>
      </c>
      <c r="J29" s="33">
        <f t="shared" si="5"/>
        <v>41361.947076327306</v>
      </c>
      <c r="K29" s="33">
        <f t="shared" si="5"/>
        <v>45219.207647823365</v>
      </c>
    </row>
    <row r="30" spans="2:11" x14ac:dyDescent="0.25">
      <c r="B30" s="22" t="str">
        <f t="shared" si="3"/>
        <v>France</v>
      </c>
      <c r="C30" s="35">
        <f t="shared" si="4"/>
        <v>4.8947797945539627E-2</v>
      </c>
      <c r="D30" s="33">
        <f t="shared" si="5"/>
        <v>25651.624634680731</v>
      </c>
      <c r="E30" s="33">
        <f t="shared" si="5"/>
        <v>25147.327696776145</v>
      </c>
      <c r="F30" s="33">
        <f t="shared" si="5"/>
        <v>28484.882264015523</v>
      </c>
      <c r="G30" s="33">
        <f t="shared" si="5"/>
        <v>30118.775648813866</v>
      </c>
      <c r="H30" s="33">
        <f t="shared" si="5"/>
        <v>31955.388819468426</v>
      </c>
      <c r="I30" s="33">
        <f t="shared" si="5"/>
        <v>34261.209445033179</v>
      </c>
      <c r="J30" s="33">
        <f t="shared" si="5"/>
        <v>36523.339268782176</v>
      </c>
      <c r="K30" s="33">
        <f t="shared" si="5"/>
        <v>39929.369363082966</v>
      </c>
    </row>
    <row r="31" spans="2:11" x14ac:dyDescent="0.25">
      <c r="B31" s="22" t="str">
        <f t="shared" si="3"/>
        <v>United Kingdom</v>
      </c>
      <c r="C31" s="35">
        <f t="shared" si="4"/>
        <v>4.616076402593236E-2</v>
      </c>
      <c r="D31" s="33">
        <f t="shared" si="5"/>
        <v>24191.049267645179</v>
      </c>
      <c r="E31" s="33">
        <f t="shared" si="5"/>
        <v>23715.466444174464</v>
      </c>
      <c r="F31" s="33">
        <f t="shared" si="5"/>
        <v>26862.984315630598</v>
      </c>
      <c r="G31" s="33">
        <f t="shared" si="5"/>
        <v>28403.845603468795</v>
      </c>
      <c r="H31" s="33">
        <f t="shared" si="5"/>
        <v>30135.88403493883</v>
      </c>
      <c r="I31" s="33">
        <f t="shared" si="5"/>
        <v>32310.413763553956</v>
      </c>
      <c r="J31" s="33">
        <f t="shared" si="5"/>
        <v>34443.740396680194</v>
      </c>
      <c r="K31" s="33">
        <f t="shared" si="5"/>
        <v>37655.834873804059</v>
      </c>
    </row>
    <row r="32" spans="2:11" x14ac:dyDescent="0.25">
      <c r="B32" s="22" t="str">
        <f t="shared" si="3"/>
        <v>Germany</v>
      </c>
      <c r="C32" s="35">
        <f t="shared" si="4"/>
        <v>4.3959118422429562E-2</v>
      </c>
      <c r="D32" s="33">
        <f t="shared" si="5"/>
        <v>23037.252999578432</v>
      </c>
      <c r="E32" s="33">
        <f t="shared" si="5"/>
        <v>22584.353180916896</v>
      </c>
      <c r="F32" s="33">
        <f t="shared" si="5"/>
        <v>25581.749644509309</v>
      </c>
      <c r="G32" s="33">
        <f t="shared" si="5"/>
        <v>27049.119287406997</v>
      </c>
      <c r="H32" s="33">
        <f t="shared" si="5"/>
        <v>28698.547847090646</v>
      </c>
      <c r="I32" s="33">
        <f t="shared" si="5"/>
        <v>30769.363005166986</v>
      </c>
      <c r="J32" s="33">
        <f t="shared" si="5"/>
        <v>32800.940256501817</v>
      </c>
      <c r="K32" s="33">
        <f t="shared" si="5"/>
        <v>35859.833333414404</v>
      </c>
    </row>
    <row r="33" spans="2:11" x14ac:dyDescent="0.25">
      <c r="B33" s="22" t="str">
        <f t="shared" si="3"/>
        <v>Spain</v>
      </c>
      <c r="C33" s="35">
        <f t="shared" si="4"/>
        <v>3.9297507186371664E-2</v>
      </c>
      <c r="D33" s="33">
        <f t="shared" si="5"/>
        <v>20594.285049248731</v>
      </c>
      <c r="E33" s="33">
        <f t="shared" si="5"/>
        <v>20189.412646951485</v>
      </c>
      <c r="F33" s="33">
        <f t="shared" si="5"/>
        <v>22868.952485228292</v>
      </c>
      <c r="G33" s="33">
        <f t="shared" si="5"/>
        <v>24180.716031819644</v>
      </c>
      <c r="H33" s="33">
        <f t="shared" si="5"/>
        <v>25655.232196013287</v>
      </c>
      <c r="I33" s="33">
        <f t="shared" si="5"/>
        <v>27506.44933767986</v>
      </c>
      <c r="J33" s="33">
        <f t="shared" si="5"/>
        <v>29322.58952654371</v>
      </c>
      <c r="K33" s="33">
        <f t="shared" si="5"/>
        <v>32057.104616613873</v>
      </c>
    </row>
    <row r="34" spans="2:11" x14ac:dyDescent="0.25">
      <c r="B34" s="22" t="str">
        <f t="shared" si="3"/>
        <v>Japan</v>
      </c>
      <c r="C34" s="35">
        <f t="shared" si="4"/>
        <v>2.2610340123008464E-2</v>
      </c>
      <c r="D34" s="33">
        <f t="shared" si="5"/>
        <v>11849.194081073587</v>
      </c>
      <c r="E34" s="33">
        <f t="shared" si="5"/>
        <v>11616.245393541192</v>
      </c>
      <c r="F34" s="33">
        <f t="shared" si="5"/>
        <v>13157.954052801915</v>
      </c>
      <c r="G34" s="33">
        <f t="shared" si="5"/>
        <v>13912.694545849783</v>
      </c>
      <c r="H34" s="33">
        <f t="shared" si="5"/>
        <v>14761.076908404681</v>
      </c>
      <c r="I34" s="33">
        <f t="shared" si="5"/>
        <v>15826.199156900397</v>
      </c>
      <c r="J34" s="33">
        <f t="shared" si="5"/>
        <v>16871.139417017388</v>
      </c>
      <c r="K34" s="33">
        <f t="shared" si="5"/>
        <v>18444.478813960803</v>
      </c>
    </row>
    <row r="35" spans="2:11" x14ac:dyDescent="0.25">
      <c r="B35" s="22" t="str">
        <f t="shared" si="3"/>
        <v>Australia</v>
      </c>
      <c r="C35" s="35">
        <f t="shared" si="4"/>
        <v>2.2060307936395934E-2</v>
      </c>
      <c r="D35" s="33">
        <f t="shared" si="5"/>
        <v>11560.943745406281</v>
      </c>
      <c r="E35" s="33">
        <f t="shared" si="5"/>
        <v>11333.661902126334</v>
      </c>
      <c r="F35" s="33">
        <f t="shared" si="5"/>
        <v>12837.866066525003</v>
      </c>
      <c r="G35" s="33">
        <f t="shared" si="5"/>
        <v>13574.246306632947</v>
      </c>
      <c r="H35" s="33">
        <f t="shared" si="5"/>
        <v>14401.990430071543</v>
      </c>
      <c r="I35" s="33">
        <f t="shared" si="5"/>
        <v>15441.201899863245</v>
      </c>
      <c r="J35" s="33">
        <f t="shared" si="5"/>
        <v>16460.722339976433</v>
      </c>
      <c r="K35" s="33">
        <f t="shared" si="5"/>
        <v>17995.787774472738</v>
      </c>
    </row>
    <row r="36" spans="2:11" x14ac:dyDescent="0.25">
      <c r="B36" s="22" t="str">
        <f t="shared" si="3"/>
        <v>Belgium</v>
      </c>
      <c r="C36" s="35">
        <f t="shared" si="4"/>
        <v>1.2484338502714864E-2</v>
      </c>
      <c r="D36" s="33">
        <f t="shared" si="5"/>
        <v>6542.5530570393303</v>
      </c>
      <c r="E36" s="33">
        <f t="shared" si="5"/>
        <v>6413.9300353114013</v>
      </c>
      <c r="F36" s="33">
        <f t="shared" si="5"/>
        <v>7265.1871446722398</v>
      </c>
      <c r="G36" s="33">
        <f t="shared" si="5"/>
        <v>7681.9184165440483</v>
      </c>
      <c r="H36" s="33">
        <f t="shared" si="5"/>
        <v>8150.3542090286692</v>
      </c>
      <c r="I36" s="33">
        <f t="shared" si="5"/>
        <v>8738.4633053381858</v>
      </c>
      <c r="J36" s="33">
        <f t="shared" si="5"/>
        <v>9315.4288817710822</v>
      </c>
      <c r="K36" s="33">
        <f t="shared" si="5"/>
        <v>10184.150957787571</v>
      </c>
    </row>
    <row r="37" spans="2:11" x14ac:dyDescent="0.25">
      <c r="B37" s="22" t="str">
        <f t="shared" si="3"/>
        <v>Poland</v>
      </c>
      <c r="C37" s="35">
        <f t="shared" si="4"/>
        <v>3.1648569822566681E-3</v>
      </c>
      <c r="D37" s="33">
        <f t="shared" si="5"/>
        <v>1658.5776426883028</v>
      </c>
      <c r="E37" s="33">
        <f t="shared" si="5"/>
        <v>1625.9709115983003</v>
      </c>
      <c r="F37" s="33">
        <f t="shared" si="5"/>
        <v>1841.7698508589117</v>
      </c>
      <c r="G37" s="33">
        <f t="shared" si="5"/>
        <v>1947.4138042987663</v>
      </c>
      <c r="H37" s="33">
        <f t="shared" si="5"/>
        <v>2066.1651733249664</v>
      </c>
      <c r="I37" s="33">
        <f t="shared" si="5"/>
        <v>2215.2544646301544</v>
      </c>
      <c r="J37" s="33">
        <f t="shared" si="5"/>
        <v>2361.5188047630586</v>
      </c>
      <c r="K37" s="33">
        <f t="shared" si="5"/>
        <v>2581.7452210304009</v>
      </c>
    </row>
    <row r="38" spans="2:11" x14ac:dyDescent="0.25">
      <c r="B38" s="22" t="str">
        <f t="shared" si="3"/>
        <v>Colombia</v>
      </c>
      <c r="C38" s="35">
        <f t="shared" si="4"/>
        <v>3.6538147089099559E-4</v>
      </c>
      <c r="D38" s="33">
        <f t="shared" si="5"/>
        <v>191.48212449090215</v>
      </c>
      <c r="E38" s="33">
        <f t="shared" si="5"/>
        <v>187.71769044746642</v>
      </c>
      <c r="F38" s="33">
        <f t="shared" si="5"/>
        <v>212.63159154499292</v>
      </c>
      <c r="G38" s="33">
        <f t="shared" si="5"/>
        <v>224.82814365303491</v>
      </c>
      <c r="H38" s="33">
        <f t="shared" si="5"/>
        <v>238.53794164023302</v>
      </c>
      <c r="I38" s="33">
        <f t="shared" si="5"/>
        <v>255.750240602426</v>
      </c>
      <c r="J38" s="33">
        <f t="shared" si="5"/>
        <v>272.63640008333721</v>
      </c>
      <c r="K38" s="33">
        <f t="shared" si="5"/>
        <v>298.06145162782701</v>
      </c>
    </row>
    <row r="39" spans="2:11" x14ac:dyDescent="0.25">
      <c r="B39" s="22" t="s">
        <v>336</v>
      </c>
      <c r="D39" s="46">
        <f t="shared" ref="D39:K39" si="6">SUM(D26:D38)</f>
        <v>524060.85077047348</v>
      </c>
      <c r="E39" s="46">
        <f t="shared" si="6"/>
        <v>513758.10051262379</v>
      </c>
      <c r="F39" s="46">
        <f t="shared" si="6"/>
        <v>581944.10085022449</v>
      </c>
      <c r="G39" s="46">
        <f t="shared" si="6"/>
        <v>615324.42546904087</v>
      </c>
      <c r="H39" s="46">
        <f t="shared" si="6"/>
        <v>652846.30076766037</v>
      </c>
      <c r="I39" s="46">
        <f t="shared" si="6"/>
        <v>699954.0507042408</v>
      </c>
      <c r="J39" s="46">
        <f t="shared" si="6"/>
        <v>746169.200694561</v>
      </c>
      <c r="K39" s="46">
        <f t="shared" si="6"/>
        <v>815754.15113687515</v>
      </c>
    </row>
    <row r="40" spans="2:11" x14ac:dyDescent="0.25">
      <c r="B40" s="22" t="s">
        <v>337</v>
      </c>
      <c r="D40" s="53">
        <f t="shared" ref="D40:K40" si="7">D39-D25</f>
        <v>0</v>
      </c>
      <c r="E40" s="53">
        <f t="shared" si="7"/>
        <v>0</v>
      </c>
      <c r="F40" s="53">
        <f t="shared" si="7"/>
        <v>0</v>
      </c>
      <c r="G40" s="53">
        <f t="shared" si="7"/>
        <v>0</v>
      </c>
      <c r="H40" s="53">
        <f t="shared" si="7"/>
        <v>0</v>
      </c>
      <c r="I40" s="53">
        <f t="shared" si="7"/>
        <v>0</v>
      </c>
      <c r="J40" s="53">
        <f t="shared" si="7"/>
        <v>0</v>
      </c>
      <c r="K40" s="53">
        <f t="shared" si="7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I36"/>
  <sheetViews>
    <sheetView showGridLines="0" workbookViewId="0"/>
  </sheetViews>
  <sheetFormatPr defaultRowHeight="15" x14ac:dyDescent="0.25"/>
  <cols>
    <col min="1" max="1" width="3" customWidth="1"/>
    <col min="2" max="2" width="12" customWidth="1"/>
    <col min="3" max="5" width="14" customWidth="1"/>
    <col min="6" max="6" width="10" customWidth="1"/>
    <col min="7" max="7" width="16" customWidth="1"/>
    <col min="8" max="8" width="14" customWidth="1"/>
    <col min="9" max="9" width="13" customWidth="1"/>
  </cols>
  <sheetData>
    <row r="1" spans="1:9" ht="18" x14ac:dyDescent="0.25">
      <c r="A1" s="13" t="s">
        <v>338</v>
      </c>
    </row>
    <row r="2" spans="1:9" x14ac:dyDescent="0.25">
      <c r="A2" s="14" t="s">
        <v>339</v>
      </c>
    </row>
    <row r="3" spans="1:9" x14ac:dyDescent="0.25">
      <c r="A3" s="14" t="s">
        <v>340</v>
      </c>
    </row>
    <row r="5" spans="1:9" ht="39.950000000000003" customHeight="1" x14ac:dyDescent="0.25">
      <c r="B5" s="15" t="s">
        <v>341</v>
      </c>
      <c r="C5" s="15" t="s">
        <v>342</v>
      </c>
      <c r="D5" s="15" t="s">
        <v>343</v>
      </c>
      <c r="E5" s="15" t="s">
        <v>344</v>
      </c>
      <c r="F5" s="15" t="s">
        <v>345</v>
      </c>
      <c r="G5" s="15" t="s">
        <v>346</v>
      </c>
      <c r="H5" s="15" t="s">
        <v>347</v>
      </c>
      <c r="I5" s="15" t="s">
        <v>348</v>
      </c>
    </row>
    <row r="6" spans="1:9" ht="20.100000000000001" customHeight="1" x14ac:dyDescent="0.25">
      <c r="B6" s="4" t="s">
        <v>99</v>
      </c>
      <c r="C6" s="4" t="s">
        <v>349</v>
      </c>
      <c r="D6" s="4" t="s">
        <v>179</v>
      </c>
      <c r="E6" s="4" t="s">
        <v>34</v>
      </c>
      <c r="F6" s="4" t="s">
        <v>350</v>
      </c>
      <c r="G6" s="4" t="s">
        <v>351</v>
      </c>
      <c r="H6" s="4" t="s">
        <v>352</v>
      </c>
      <c r="I6" s="4" t="s">
        <v>353</v>
      </c>
    </row>
    <row r="7" spans="1:9" x14ac:dyDescent="0.25">
      <c r="B7" s="16">
        <v>44927</v>
      </c>
      <c r="C7" s="17">
        <v>203999.9976155</v>
      </c>
      <c r="D7" s="33">
        <f t="shared" ref="D7:D30" si="0">IFERROR(INDEX(Sales,MATCH(B7,Months,0)),"")</f>
        <v>188680.17009925839</v>
      </c>
      <c r="E7" s="33" t="str">
        <f t="shared" ref="E7:E30" si="1">IFERROR(INDEX(FcChosen,MATCH(B7,FcMonths,0)),"")</f>
        <v/>
      </c>
      <c r="F7" s="8" t="str">
        <f t="shared" ref="F7:F30" si="2">IF(D7&lt;&gt;"","Actual","Forecast")</f>
        <v>Actual</v>
      </c>
      <c r="G7" s="33">
        <f t="shared" ref="G7:G30" si="3">IF(D7&lt;&gt;"",D7,E7)</f>
        <v>188680.17009925839</v>
      </c>
      <c r="H7" s="33">
        <f t="shared" ref="H7:H30" si="4">G7-C7</f>
        <v>-15319.82751624161</v>
      </c>
      <c r="I7" s="35">
        <f t="shared" ref="I7:I31" si="5">G7/C7</f>
        <v>0.9249028054151428</v>
      </c>
    </row>
    <row r="8" spans="1:9" x14ac:dyDescent="0.25">
      <c r="B8" s="16">
        <v>44958</v>
      </c>
      <c r="C8" s="17">
        <v>176999.99879300001</v>
      </c>
      <c r="D8" s="33">
        <f t="shared" si="0"/>
        <v>167409.8501970768</v>
      </c>
      <c r="E8" s="33" t="str">
        <f t="shared" si="1"/>
        <v/>
      </c>
      <c r="F8" s="8" t="str">
        <f t="shared" si="2"/>
        <v>Actual</v>
      </c>
      <c r="G8" s="33">
        <f t="shared" si="3"/>
        <v>167409.8501970768</v>
      </c>
      <c r="H8" s="33">
        <f t="shared" si="4"/>
        <v>-9590.1485959232086</v>
      </c>
      <c r="I8" s="35">
        <f t="shared" si="5"/>
        <v>0.94581836914508233</v>
      </c>
    </row>
    <row r="9" spans="1:9" x14ac:dyDescent="0.25">
      <c r="B9" s="16">
        <v>44986</v>
      </c>
      <c r="C9" s="17">
        <v>214899.99922600001</v>
      </c>
      <c r="D9" s="33">
        <f t="shared" si="0"/>
        <v>184777.90021240711</v>
      </c>
      <c r="E9" s="33" t="str">
        <f t="shared" si="1"/>
        <v/>
      </c>
      <c r="F9" s="8" t="str">
        <f t="shared" si="2"/>
        <v>Actual</v>
      </c>
      <c r="G9" s="33">
        <f t="shared" si="3"/>
        <v>184777.90021240711</v>
      </c>
      <c r="H9" s="33">
        <f t="shared" si="4"/>
        <v>-30122.099013592902</v>
      </c>
      <c r="I9" s="35">
        <f t="shared" si="5"/>
        <v>0.85983201897588224</v>
      </c>
    </row>
    <row r="10" spans="1:9" x14ac:dyDescent="0.25">
      <c r="B10" s="16">
        <v>45017</v>
      </c>
      <c r="C10" s="17">
        <v>204899.9942285</v>
      </c>
      <c r="D10" s="33">
        <f t="shared" si="0"/>
        <v>193149.96007275581</v>
      </c>
      <c r="E10" s="33" t="str">
        <f t="shared" si="1"/>
        <v/>
      </c>
      <c r="F10" s="8" t="str">
        <f t="shared" si="2"/>
        <v>Actual</v>
      </c>
      <c r="G10" s="33">
        <f t="shared" si="3"/>
        <v>193149.96007275581</v>
      </c>
      <c r="H10" s="33">
        <f t="shared" si="4"/>
        <v>-11750.034155744186</v>
      </c>
      <c r="I10" s="35">
        <f t="shared" si="5"/>
        <v>0.9426547853259537</v>
      </c>
    </row>
    <row r="11" spans="1:9" x14ac:dyDescent="0.25">
      <c r="B11" s="16">
        <v>45047</v>
      </c>
      <c r="C11" s="17">
        <v>212400.0083705</v>
      </c>
      <c r="D11" s="33">
        <f t="shared" si="0"/>
        <v>209624.34030818939</v>
      </c>
      <c r="E11" s="33" t="str">
        <f t="shared" si="1"/>
        <v/>
      </c>
      <c r="F11" s="8" t="str">
        <f t="shared" si="2"/>
        <v>Actual</v>
      </c>
      <c r="G11" s="33">
        <f t="shared" si="3"/>
        <v>209624.34030818939</v>
      </c>
      <c r="H11" s="33">
        <f t="shared" si="4"/>
        <v>-2775.6680623106076</v>
      </c>
      <c r="I11" s="35">
        <f t="shared" si="5"/>
        <v>0.98693188346081007</v>
      </c>
    </row>
    <row r="12" spans="1:9" x14ac:dyDescent="0.25">
      <c r="B12" s="16">
        <v>45078</v>
      </c>
      <c r="C12" s="17">
        <v>239999.99922600001</v>
      </c>
      <c r="D12" s="33">
        <f t="shared" si="0"/>
        <v>205503.24020504949</v>
      </c>
      <c r="E12" s="33" t="str">
        <f t="shared" si="1"/>
        <v/>
      </c>
      <c r="F12" s="8" t="str">
        <f t="shared" si="2"/>
        <v>Actual</v>
      </c>
      <c r="G12" s="33">
        <f t="shared" si="3"/>
        <v>205503.24020504949</v>
      </c>
      <c r="H12" s="33">
        <f t="shared" si="4"/>
        <v>-34496.759020950529</v>
      </c>
      <c r="I12" s="35">
        <f t="shared" si="5"/>
        <v>0.8562635036158226</v>
      </c>
    </row>
    <row r="13" spans="1:9" x14ac:dyDescent="0.25">
      <c r="B13" s="16">
        <v>45108</v>
      </c>
      <c r="C13" s="17">
        <v>248500.00721499999</v>
      </c>
      <c r="D13" s="33">
        <f t="shared" si="0"/>
        <v>232777.6403400898</v>
      </c>
      <c r="E13" s="33" t="str">
        <f t="shared" si="1"/>
        <v/>
      </c>
      <c r="F13" s="8" t="str">
        <f t="shared" si="2"/>
        <v>Actual</v>
      </c>
      <c r="G13" s="33">
        <f t="shared" si="3"/>
        <v>232777.6403400898</v>
      </c>
      <c r="H13" s="33">
        <f t="shared" si="4"/>
        <v>-15722.366874910193</v>
      </c>
      <c r="I13" s="35">
        <f t="shared" si="5"/>
        <v>0.93673091984537715</v>
      </c>
    </row>
    <row r="14" spans="1:9" x14ac:dyDescent="0.25">
      <c r="B14" s="16">
        <v>45139</v>
      </c>
      <c r="C14" s="17">
        <v>245299.99780899999</v>
      </c>
      <c r="D14" s="33">
        <f t="shared" si="0"/>
        <v>246129.77018761629</v>
      </c>
      <c r="E14" s="33" t="str">
        <f t="shared" si="1"/>
        <v/>
      </c>
      <c r="F14" s="8" t="str">
        <f t="shared" si="2"/>
        <v>Actual</v>
      </c>
      <c r="G14" s="33">
        <f t="shared" si="3"/>
        <v>246129.77018761629</v>
      </c>
      <c r="H14" s="33">
        <f t="shared" si="4"/>
        <v>829.77237861629692</v>
      </c>
      <c r="I14" s="35">
        <f t="shared" si="5"/>
        <v>1.0033826840033744</v>
      </c>
    </row>
    <row r="15" spans="1:9" x14ac:dyDescent="0.25">
      <c r="B15" s="16">
        <v>45170</v>
      </c>
      <c r="C15" s="17">
        <v>248499.99841350011</v>
      </c>
      <c r="D15" s="33">
        <f t="shared" si="0"/>
        <v>261138.52030706409</v>
      </c>
      <c r="E15" s="33" t="str">
        <f t="shared" si="1"/>
        <v/>
      </c>
      <c r="F15" s="8" t="str">
        <f t="shared" si="2"/>
        <v>Actual</v>
      </c>
      <c r="G15" s="33">
        <f t="shared" si="3"/>
        <v>261138.52030706409</v>
      </c>
      <c r="H15" s="33">
        <f t="shared" si="4"/>
        <v>12638.521893563971</v>
      </c>
      <c r="I15" s="35">
        <f t="shared" si="5"/>
        <v>1.0508592433571515</v>
      </c>
    </row>
    <row r="16" spans="1:9" x14ac:dyDescent="0.25">
      <c r="B16" s="16">
        <v>45200</v>
      </c>
      <c r="C16" s="17">
        <v>275900.0041885</v>
      </c>
      <c r="D16" s="33">
        <f t="shared" si="0"/>
        <v>279981.62028169632</v>
      </c>
      <c r="E16" s="33" t="str">
        <f t="shared" si="1"/>
        <v/>
      </c>
      <c r="F16" s="8" t="str">
        <f t="shared" si="2"/>
        <v>Actual</v>
      </c>
      <c r="G16" s="33">
        <f t="shared" si="3"/>
        <v>279981.62028169632</v>
      </c>
      <c r="H16" s="33">
        <f t="shared" si="4"/>
        <v>4081.6160931963241</v>
      </c>
      <c r="I16" s="35">
        <f t="shared" si="5"/>
        <v>1.0147938239624226</v>
      </c>
    </row>
    <row r="17" spans="2:9" x14ac:dyDescent="0.25">
      <c r="B17" s="16">
        <v>45231</v>
      </c>
      <c r="C17" s="17">
        <v>287400.02060250012</v>
      </c>
      <c r="D17" s="33">
        <f t="shared" si="0"/>
        <v>298467.6802778244</v>
      </c>
      <c r="E17" s="33" t="str">
        <f t="shared" si="1"/>
        <v/>
      </c>
      <c r="F17" s="8" t="str">
        <f t="shared" si="2"/>
        <v>Actual</v>
      </c>
      <c r="G17" s="33">
        <f t="shared" si="3"/>
        <v>298467.6802778244</v>
      </c>
      <c r="H17" s="33">
        <f t="shared" si="4"/>
        <v>11067.659675324277</v>
      </c>
      <c r="I17" s="35">
        <f t="shared" si="5"/>
        <v>1.0385095994500009</v>
      </c>
    </row>
    <row r="18" spans="2:9" x14ac:dyDescent="0.25">
      <c r="B18" s="16">
        <v>45261</v>
      </c>
      <c r="C18" s="17">
        <v>301899.99321049999</v>
      </c>
      <c r="D18" s="33">
        <f t="shared" si="0"/>
        <v>326301.66045475012</v>
      </c>
      <c r="E18" s="33" t="str">
        <f t="shared" si="1"/>
        <v/>
      </c>
      <c r="F18" s="8" t="str">
        <f t="shared" si="2"/>
        <v>Actual</v>
      </c>
      <c r="G18" s="33">
        <f t="shared" si="3"/>
        <v>326301.66045475012</v>
      </c>
      <c r="H18" s="33">
        <f t="shared" si="4"/>
        <v>24401.667244250129</v>
      </c>
      <c r="I18" s="35">
        <f t="shared" si="5"/>
        <v>1.0808269883836534</v>
      </c>
    </row>
    <row r="19" spans="2:9" x14ac:dyDescent="0.25">
      <c r="B19" s="16">
        <v>45292</v>
      </c>
      <c r="C19" s="17">
        <v>350599.99439900002</v>
      </c>
      <c r="D19" s="33">
        <f t="shared" si="0"/>
        <v>348737.74029840901</v>
      </c>
      <c r="E19" s="33" t="str">
        <f t="shared" si="1"/>
        <v/>
      </c>
      <c r="F19" s="8" t="str">
        <f t="shared" si="2"/>
        <v>Actual</v>
      </c>
      <c r="G19" s="33">
        <f t="shared" si="3"/>
        <v>348737.74029840901</v>
      </c>
      <c r="H19" s="33">
        <f t="shared" si="4"/>
        <v>-1862.2541005910025</v>
      </c>
      <c r="I19" s="35">
        <f t="shared" si="5"/>
        <v>0.99468837954837031</v>
      </c>
    </row>
    <row r="20" spans="2:9" x14ac:dyDescent="0.25">
      <c r="B20" s="16">
        <v>45323</v>
      </c>
      <c r="C20" s="17">
        <v>303100.0016055</v>
      </c>
      <c r="D20" s="33">
        <f t="shared" si="0"/>
        <v>381972.60026504472</v>
      </c>
      <c r="E20" s="33" t="str">
        <f t="shared" si="1"/>
        <v/>
      </c>
      <c r="F20" s="8" t="str">
        <f t="shared" si="2"/>
        <v>Actual</v>
      </c>
      <c r="G20" s="33">
        <f t="shared" si="3"/>
        <v>381972.60026504472</v>
      </c>
      <c r="H20" s="33">
        <f t="shared" si="4"/>
        <v>78872.598659544718</v>
      </c>
      <c r="I20" s="35">
        <f t="shared" si="5"/>
        <v>1.2602197236613724</v>
      </c>
    </row>
    <row r="21" spans="2:9" x14ac:dyDescent="0.25">
      <c r="B21" s="16">
        <v>45352</v>
      </c>
      <c r="C21" s="17">
        <v>343300.00418450002</v>
      </c>
      <c r="D21" s="33">
        <f t="shared" si="0"/>
        <v>441334.21046054357</v>
      </c>
      <c r="E21" s="33" t="str">
        <f t="shared" si="1"/>
        <v/>
      </c>
      <c r="F21" s="8" t="str">
        <f t="shared" si="2"/>
        <v>Actual</v>
      </c>
      <c r="G21" s="33">
        <f t="shared" si="3"/>
        <v>441334.21046054357</v>
      </c>
      <c r="H21" s="33">
        <f t="shared" si="4"/>
        <v>98034.206276043551</v>
      </c>
      <c r="I21" s="35">
        <f t="shared" si="5"/>
        <v>1.2855642443376054</v>
      </c>
    </row>
    <row r="22" spans="2:9" x14ac:dyDescent="0.25">
      <c r="B22" s="16">
        <v>45383</v>
      </c>
      <c r="C22" s="17">
        <v>359799.983182</v>
      </c>
      <c r="D22" s="33">
        <f t="shared" si="0"/>
        <v>550157.88051688671</v>
      </c>
      <c r="E22" s="33" t="str">
        <f t="shared" si="1"/>
        <v/>
      </c>
      <c r="F22" s="8" t="str">
        <f t="shared" si="2"/>
        <v>Actual</v>
      </c>
      <c r="G22" s="33">
        <f t="shared" si="3"/>
        <v>550157.88051688671</v>
      </c>
      <c r="H22" s="33">
        <f t="shared" si="4"/>
        <v>190357.89733488671</v>
      </c>
      <c r="I22" s="35">
        <f t="shared" si="5"/>
        <v>1.5290658872504637</v>
      </c>
    </row>
    <row r="23" spans="2:9" x14ac:dyDescent="0.25">
      <c r="B23" s="16">
        <v>45413</v>
      </c>
      <c r="C23" s="17">
        <v>388400.00877050002</v>
      </c>
      <c r="D23" s="33" t="str">
        <f t="shared" si="0"/>
        <v/>
      </c>
      <c r="E23" s="33">
        <f t="shared" si="1"/>
        <v>524060.85077047348</v>
      </c>
      <c r="F23" s="8" t="str">
        <f t="shared" si="2"/>
        <v>Forecast</v>
      </c>
      <c r="G23" s="33">
        <f t="shared" si="3"/>
        <v>524060.85077047348</v>
      </c>
      <c r="H23" s="33">
        <f t="shared" si="4"/>
        <v>135660.84199997346</v>
      </c>
      <c r="I23" s="35">
        <f t="shared" si="5"/>
        <v>1.3492812536987699</v>
      </c>
    </row>
    <row r="24" spans="2:9" x14ac:dyDescent="0.25">
      <c r="B24" s="16">
        <v>45444</v>
      </c>
      <c r="C24" s="17">
        <v>382199.99457949999</v>
      </c>
      <c r="D24" s="33" t="str">
        <f t="shared" si="0"/>
        <v/>
      </c>
      <c r="E24" s="33">
        <f t="shared" si="1"/>
        <v>513758.10051262373</v>
      </c>
      <c r="F24" s="8" t="str">
        <f t="shared" si="2"/>
        <v>Forecast</v>
      </c>
      <c r="G24" s="33">
        <f t="shared" si="3"/>
        <v>513758.10051262373</v>
      </c>
      <c r="H24" s="33">
        <f t="shared" si="4"/>
        <v>131558.10593312373</v>
      </c>
      <c r="I24" s="35">
        <f t="shared" si="5"/>
        <v>1.3442127362609337</v>
      </c>
    </row>
    <row r="25" spans="2:9" x14ac:dyDescent="0.25">
      <c r="B25" s="16">
        <v>45474</v>
      </c>
      <c r="C25" s="17">
        <v>432400.00898899999</v>
      </c>
      <c r="D25" s="33" t="str">
        <f t="shared" si="0"/>
        <v/>
      </c>
      <c r="E25" s="33">
        <f t="shared" si="1"/>
        <v>581944.10085022449</v>
      </c>
      <c r="F25" s="8" t="str">
        <f t="shared" si="2"/>
        <v>Forecast</v>
      </c>
      <c r="G25" s="33">
        <f t="shared" si="3"/>
        <v>581944.10085022449</v>
      </c>
      <c r="H25" s="33">
        <f t="shared" si="4"/>
        <v>149544.0918612245</v>
      </c>
      <c r="I25" s="35">
        <f t="shared" si="5"/>
        <v>1.3458466437382262</v>
      </c>
    </row>
    <row r="26" spans="2:9" x14ac:dyDescent="0.25">
      <c r="B26" s="16">
        <v>45505</v>
      </c>
      <c r="C26" s="17">
        <v>456599.99738750007</v>
      </c>
      <c r="D26" s="33" t="str">
        <f t="shared" si="0"/>
        <v/>
      </c>
      <c r="E26" s="33">
        <f t="shared" si="1"/>
        <v>615324.42546904075</v>
      </c>
      <c r="F26" s="8" t="str">
        <f t="shared" si="2"/>
        <v>Forecast</v>
      </c>
      <c r="G26" s="33">
        <f t="shared" si="3"/>
        <v>615324.42546904075</v>
      </c>
      <c r="H26" s="33">
        <f t="shared" si="4"/>
        <v>158724.42808154068</v>
      </c>
      <c r="I26" s="35">
        <f t="shared" si="5"/>
        <v>1.3476224901219982</v>
      </c>
    </row>
    <row r="27" spans="2:9" x14ac:dyDescent="0.25">
      <c r="B27" s="16">
        <v>45536</v>
      </c>
      <c r="C27" s="17">
        <v>462599.99663250003</v>
      </c>
      <c r="D27" s="33" t="str">
        <f t="shared" si="0"/>
        <v/>
      </c>
      <c r="E27" s="33">
        <f t="shared" si="1"/>
        <v>652846.30076766026</v>
      </c>
      <c r="F27" s="8" t="str">
        <f t="shared" si="2"/>
        <v>Forecast</v>
      </c>
      <c r="G27" s="33">
        <f t="shared" si="3"/>
        <v>652846.30076766026</v>
      </c>
      <c r="H27" s="33">
        <f t="shared" si="4"/>
        <v>190246.30413516023</v>
      </c>
      <c r="I27" s="35">
        <f t="shared" si="5"/>
        <v>1.4112544434069596</v>
      </c>
    </row>
    <row r="28" spans="2:9" x14ac:dyDescent="0.25">
      <c r="B28" s="16">
        <v>45566</v>
      </c>
      <c r="C28" s="17">
        <v>520199.98601950012</v>
      </c>
      <c r="D28" s="33" t="str">
        <f t="shared" si="0"/>
        <v/>
      </c>
      <c r="E28" s="33">
        <f t="shared" si="1"/>
        <v>699954.0507042408</v>
      </c>
      <c r="F28" s="8" t="str">
        <f t="shared" si="2"/>
        <v>Forecast</v>
      </c>
      <c r="G28" s="33">
        <f t="shared" si="3"/>
        <v>699954.0507042408</v>
      </c>
      <c r="H28" s="33">
        <f t="shared" si="4"/>
        <v>179754.06468474068</v>
      </c>
      <c r="I28" s="35">
        <f t="shared" si="5"/>
        <v>1.3455479998378979</v>
      </c>
    </row>
    <row r="29" spans="2:9" x14ac:dyDescent="0.25">
      <c r="B29" s="16">
        <v>45597</v>
      </c>
      <c r="C29" s="17">
        <v>583899.99102999992</v>
      </c>
      <c r="D29" s="33" t="str">
        <f t="shared" si="0"/>
        <v/>
      </c>
      <c r="E29" s="33">
        <f t="shared" si="1"/>
        <v>746169.200694561</v>
      </c>
      <c r="F29" s="8" t="str">
        <f t="shared" si="2"/>
        <v>Forecast</v>
      </c>
      <c r="G29" s="33">
        <f t="shared" si="3"/>
        <v>746169.200694561</v>
      </c>
      <c r="H29" s="33">
        <f t="shared" si="4"/>
        <v>162269.20966456109</v>
      </c>
      <c r="I29" s="35">
        <f t="shared" si="5"/>
        <v>1.277905826609653</v>
      </c>
    </row>
    <row r="30" spans="2:9" x14ac:dyDescent="0.25">
      <c r="B30" s="16">
        <v>45627</v>
      </c>
      <c r="C30" s="17">
        <v>637499.99497849995</v>
      </c>
      <c r="D30" s="33" t="str">
        <f t="shared" si="0"/>
        <v/>
      </c>
      <c r="E30" s="33">
        <f t="shared" si="1"/>
        <v>815754.15113687527</v>
      </c>
      <c r="F30" s="8" t="str">
        <f t="shared" si="2"/>
        <v>Forecast</v>
      </c>
      <c r="G30" s="33">
        <f t="shared" si="3"/>
        <v>815754.15113687527</v>
      </c>
      <c r="H30" s="33">
        <f t="shared" si="4"/>
        <v>178254.15615837532</v>
      </c>
      <c r="I30" s="35">
        <f t="shared" si="5"/>
        <v>1.2796143648038572</v>
      </c>
    </row>
    <row r="31" spans="2:9" x14ac:dyDescent="0.25">
      <c r="B31" s="22" t="s">
        <v>333</v>
      </c>
      <c r="C31" s="46">
        <f>SUM(C7:C30)</f>
        <v>8081299.9806565009</v>
      </c>
      <c r="G31" s="46">
        <f>SUM(G7:G30)</f>
        <v>9665955.9653903618</v>
      </c>
      <c r="H31" s="46">
        <f>SUM(H7:H30)</f>
        <v>1584655.9847338614</v>
      </c>
      <c r="I31" s="36">
        <f t="shared" si="5"/>
        <v>1.1960892416476201</v>
      </c>
    </row>
    <row r="33" spans="2:9" x14ac:dyDescent="0.25">
      <c r="B33" s="23">
        <v>2023</v>
      </c>
      <c r="C33" s="33">
        <f>SUMPRODUCT((YEAR($B$7:$B$30)=$B33)*$C$7:$C$30)</f>
        <v>2860700.0188985006</v>
      </c>
      <c r="G33" s="33">
        <f>SUMPRODUCT((YEAR($B$7:$B$30)=$B33)*$G$7:$G$30)</f>
        <v>2793942.352943778</v>
      </c>
      <c r="H33" s="33">
        <f>G33-C33</f>
        <v>-66757.665954722557</v>
      </c>
      <c r="I33" s="35">
        <f>G33/C33</f>
        <v>0.97666387055136694</v>
      </c>
    </row>
    <row r="34" spans="2:9" x14ac:dyDescent="0.25">
      <c r="B34" s="23">
        <v>2024</v>
      </c>
      <c r="C34" s="33">
        <f>SUMPRODUCT((YEAR($B$7:$B$30)=$B34)*$C$7:$C$30)</f>
        <v>5220599.9617579998</v>
      </c>
      <c r="G34" s="33">
        <f>SUMPRODUCT((YEAR($B$7:$B$30)=$B34)*$G$7:$G$30)</f>
        <v>6872013.6124465838</v>
      </c>
      <c r="H34" s="33">
        <f>G34-C34</f>
        <v>1651413.650688584</v>
      </c>
      <c r="I34" s="35">
        <f>G34/C34</f>
        <v>1.316326411290951</v>
      </c>
    </row>
    <row r="36" spans="2:9" x14ac:dyDescent="0.25">
      <c r="B36" s="21" t="s">
        <v>354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</sheetPr>
  <dimension ref="A1:E20"/>
  <sheetViews>
    <sheetView showGridLines="0" workbookViewId="0"/>
  </sheetViews>
  <sheetFormatPr defaultRowHeight="15" x14ac:dyDescent="0.25"/>
  <cols>
    <col min="1" max="1" width="3" customWidth="1"/>
    <col min="2" max="2" width="40" customWidth="1"/>
    <col min="3" max="4" width="18" customWidth="1"/>
    <col min="5" max="5" width="10" customWidth="1"/>
  </cols>
  <sheetData>
    <row r="1" spans="1:5" ht="18" x14ac:dyDescent="0.25">
      <c r="A1" s="13" t="s">
        <v>355</v>
      </c>
    </row>
    <row r="2" spans="1:5" x14ac:dyDescent="0.25">
      <c r="A2" s="14" t="s">
        <v>356</v>
      </c>
    </row>
    <row r="3" spans="1:5" x14ac:dyDescent="0.25">
      <c r="A3" s="14" t="s">
        <v>357</v>
      </c>
    </row>
    <row r="5" spans="1:5" ht="20.100000000000001" customHeight="1" x14ac:dyDescent="0.25">
      <c r="B5" s="4" t="s">
        <v>358</v>
      </c>
      <c r="C5" s="4" t="s">
        <v>359</v>
      </c>
      <c r="D5" s="4" t="s">
        <v>360</v>
      </c>
      <c r="E5" s="4" t="s">
        <v>361</v>
      </c>
    </row>
    <row r="6" spans="1:5" x14ac:dyDescent="0.25">
      <c r="B6" s="22" t="s">
        <v>362</v>
      </c>
      <c r="C6" s="9" t="str">
        <f>Champion</f>
        <v>seasonal_naive_drift</v>
      </c>
      <c r="D6" s="7" t="s">
        <v>240</v>
      </c>
      <c r="E6" s="22" t="str">
        <f>IF(C6=D6,"PASS","CHECK")</f>
        <v>PASS</v>
      </c>
    </row>
    <row r="7" spans="1:5" x14ac:dyDescent="0.25">
      <c r="B7" s="22" t="s">
        <v>363</v>
      </c>
      <c r="C7" s="44">
        <f>Scores!C7</f>
        <v>8.0024478398840707E-2</v>
      </c>
      <c r="D7" s="18">
        <v>8.0024478398840596E-2</v>
      </c>
      <c r="E7" s="22" t="str">
        <f t="shared" ref="E7:E18" si="0">IF(ABS(C7-D7)&lt;0.000001*MAX(1,ABS(D7)),"PASS","CHECK")</f>
        <v>PASS</v>
      </c>
    </row>
    <row r="8" spans="1:5" x14ac:dyDescent="0.25">
      <c r="B8" s="22" t="s">
        <v>270</v>
      </c>
      <c r="C8" s="44">
        <f>Scores!C8</f>
        <v>0.25975189087104561</v>
      </c>
      <c r="D8" s="18">
        <v>0.25975189087104572</v>
      </c>
      <c r="E8" s="22" t="str">
        <f t="shared" si="0"/>
        <v>PASS</v>
      </c>
    </row>
    <row r="9" spans="1:5" x14ac:dyDescent="0.25">
      <c r="B9" s="22" t="s">
        <v>364</v>
      </c>
      <c r="C9" s="44">
        <f>Scores!C6</f>
        <v>0.42418044562006435</v>
      </c>
      <c r="D9" s="18">
        <v>0.42418044562006479</v>
      </c>
      <c r="E9" s="22" t="str">
        <f t="shared" si="0"/>
        <v>PASS</v>
      </c>
    </row>
    <row r="10" spans="1:5" x14ac:dyDescent="0.25">
      <c r="B10" s="22" t="s">
        <v>365</v>
      </c>
      <c r="C10" s="44">
        <f>Scores!G7</f>
        <v>-7.1072276713293912E-3</v>
      </c>
      <c r="D10" s="18">
        <v>-7.1072276713293791E-3</v>
      </c>
      <c r="E10" s="22" t="str">
        <f t="shared" si="0"/>
        <v>PASS</v>
      </c>
    </row>
    <row r="11" spans="1:5" x14ac:dyDescent="0.25">
      <c r="B11" s="22" t="s">
        <v>366</v>
      </c>
      <c r="C11" s="44">
        <f>Scores!F7</f>
        <v>0.39408325588782128</v>
      </c>
      <c r="D11" s="18">
        <v>0.39408325588782123</v>
      </c>
      <c r="E11" s="22" t="str">
        <f t="shared" si="0"/>
        <v>PASS</v>
      </c>
    </row>
    <row r="12" spans="1:5" x14ac:dyDescent="0.25">
      <c r="B12" s="22" t="s">
        <v>237</v>
      </c>
      <c r="C12" s="43">
        <f>Scores!I7</f>
        <v>192</v>
      </c>
      <c r="D12" s="23">
        <v>192</v>
      </c>
      <c r="E12" s="22" t="str">
        <f t="shared" si="0"/>
        <v>PASS</v>
      </c>
    </row>
    <row r="13" spans="1:5" x14ac:dyDescent="0.25">
      <c r="B13" s="22" t="s">
        <v>367</v>
      </c>
      <c r="C13" s="50">
        <f>Forecast!H14</f>
        <v>524060.85077047348</v>
      </c>
      <c r="D13" s="17">
        <v>524060.85077047348</v>
      </c>
      <c r="E13" s="22" t="str">
        <f t="shared" si="0"/>
        <v>PASS</v>
      </c>
    </row>
    <row r="14" spans="1:5" x14ac:dyDescent="0.25">
      <c r="B14" s="22" t="s">
        <v>368</v>
      </c>
      <c r="C14" s="50">
        <f>Forecast!H21</f>
        <v>815754.15113687527</v>
      </c>
      <c r="D14" s="17">
        <v>815754.15113687515</v>
      </c>
      <c r="E14" s="22" t="str">
        <f t="shared" si="0"/>
        <v>PASS</v>
      </c>
    </row>
    <row r="15" spans="1:5" x14ac:dyDescent="0.25">
      <c r="B15" s="22" t="s">
        <v>369</v>
      </c>
      <c r="C15" s="44">
        <f>VsPlan!$I$31</f>
        <v>1.1960892416476201</v>
      </c>
      <c r="D15" s="18">
        <v>1.1960892416476201</v>
      </c>
      <c r="E15" s="22" t="str">
        <f t="shared" si="0"/>
        <v>PASS</v>
      </c>
    </row>
    <row r="16" spans="1:5" x14ac:dyDescent="0.25">
      <c r="B16" s="22" t="s">
        <v>370</v>
      </c>
      <c r="C16" s="44">
        <f>OldDesign!M15</f>
        <v>9.8724532198150194E-2</v>
      </c>
      <c r="D16" s="18">
        <v>9.8724532198150153E-2</v>
      </c>
      <c r="E16" s="22" t="str">
        <f t="shared" si="0"/>
        <v>PASS</v>
      </c>
    </row>
    <row r="17" spans="2:5" x14ac:dyDescent="0.25">
      <c r="B17" s="22" t="s">
        <v>371</v>
      </c>
      <c r="C17" s="44">
        <f>OldDesign!N15</f>
        <v>0.13354077780969828</v>
      </c>
      <c r="D17" s="18">
        <v>0.1335407778096982</v>
      </c>
      <c r="E17" s="22" t="str">
        <f t="shared" si="0"/>
        <v>PASS</v>
      </c>
    </row>
    <row r="18" spans="2:5" x14ac:dyDescent="0.25">
      <c r="B18" s="22" t="s">
        <v>372</v>
      </c>
      <c r="C18" s="54">
        <f>SUMPRODUCT(ABS(CountrySplit!$D$40:$K$40))</f>
        <v>0</v>
      </c>
      <c r="D18" s="55">
        <v>0</v>
      </c>
      <c r="E18" s="22" t="str">
        <f t="shared" si="0"/>
        <v>PASS</v>
      </c>
    </row>
    <row r="20" spans="2:5" x14ac:dyDescent="0.25">
      <c r="B20" s="21" t="s">
        <v>373</v>
      </c>
    </row>
  </sheetData>
  <conditionalFormatting sqref="E6:E18">
    <cfRule type="expression" dxfId="1" priority="1">
      <formula>E6="PASS"</formula>
    </cfRule>
    <cfRule type="expression" dxfId="0" priority="2">
      <formula>E6="CHECK"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3864"/>
  </sheetPr>
  <dimension ref="A1:I25"/>
  <sheetViews>
    <sheetView showGridLines="0" workbookViewId="0"/>
  </sheetViews>
  <sheetFormatPr defaultRowHeight="15" x14ac:dyDescent="0.25"/>
  <cols>
    <col min="1" max="1" width="3" customWidth="1"/>
    <col min="2" max="2" width="5" customWidth="1"/>
    <col min="3" max="4" width="40" customWidth="1"/>
    <col min="5" max="5" width="34" customWidth="1"/>
    <col min="6" max="6" width="46" customWidth="1"/>
    <col min="7" max="9" width="10" customWidth="1"/>
  </cols>
  <sheetData>
    <row r="1" spans="1:6" ht="18" x14ac:dyDescent="0.25">
      <c r="A1" s="13" t="s">
        <v>374</v>
      </c>
    </row>
    <row r="2" spans="1:6" x14ac:dyDescent="0.25">
      <c r="A2" s="14" t="s">
        <v>375</v>
      </c>
    </row>
    <row r="3" spans="1:6" x14ac:dyDescent="0.25">
      <c r="A3" s="14" t="s">
        <v>376</v>
      </c>
    </row>
    <row r="5" spans="1:6" ht="20.100000000000001" customHeight="1" x14ac:dyDescent="0.25">
      <c r="B5" s="4" t="s">
        <v>377</v>
      </c>
      <c r="C5" s="4" t="s">
        <v>358</v>
      </c>
      <c r="D5" s="4" t="s">
        <v>378</v>
      </c>
      <c r="E5" s="4" t="s">
        <v>379</v>
      </c>
      <c r="F5" s="4" t="s">
        <v>380</v>
      </c>
    </row>
    <row r="6" spans="1:6" ht="42" customHeight="1" x14ac:dyDescent="0.25">
      <c r="B6" s="56" t="s">
        <v>9</v>
      </c>
      <c r="C6" s="6" t="s">
        <v>381</v>
      </c>
      <c r="D6" s="5" t="s">
        <v>382</v>
      </c>
      <c r="E6" s="57" t="str">
        <f>TEXT(Scores!D8,"0.0%")&amp;" at 1 month → "&amp;TEXT(Scores!E8,"0.0%")&amp;" at 8 months"</f>
        <v>8.3% at 1 month → 43.5% at 8 months</v>
      </c>
      <c r="F6" s="5" t="s">
        <v>383</v>
      </c>
    </row>
    <row r="7" spans="1:6" ht="42" customHeight="1" x14ac:dyDescent="0.25">
      <c r="B7" s="56" t="s">
        <v>13</v>
      </c>
      <c r="C7" s="6" t="s">
        <v>384</v>
      </c>
      <c r="D7" s="5" t="s">
        <v>385</v>
      </c>
      <c r="E7" s="57" t="str">
        <f>TEXT($F$22,"+0.0%;-0.0%")</f>
        <v>+0.6%</v>
      </c>
      <c r="F7" s="5" t="str">
        <f>IF(ABS($F$22)&lt;0.02,"Worry rejected: Holt-Winters is effectively unbiased here.","Investigate: Holt-Winters is biased.")</f>
        <v>Worry rejected: Holt-Winters is effectively unbiased here.</v>
      </c>
    </row>
    <row r="8" spans="1:6" ht="42" customHeight="1" x14ac:dyDescent="0.25">
      <c r="B8" s="56" t="s">
        <v>17</v>
      </c>
      <c r="C8" s="6" t="s">
        <v>386</v>
      </c>
      <c r="D8" s="5" t="s">
        <v>387</v>
      </c>
      <c r="E8" s="57" t="str">
        <f>$I$23</f>
        <v>Yes</v>
      </c>
      <c r="F8" s="5" t="str">
        <f>IF($I$23="Yes","Worry rejected: every metric picks the same order.","Investigate: the metric changes the ranking.")</f>
        <v>Worry rejected: every metric picks the same order.</v>
      </c>
    </row>
    <row r="9" spans="1:6" ht="42" customHeight="1" x14ac:dyDescent="0.25">
      <c r="B9" s="56" t="s">
        <v>21</v>
      </c>
      <c r="C9" s="6" t="s">
        <v>388</v>
      </c>
      <c r="D9" s="5" t="s">
        <v>389</v>
      </c>
      <c r="E9" s="57" t="str">
        <f>"Old: "&amp;OldDesign!E16&amp;"–"&amp;OldDesign!E17&amp;" | New: drift better in "&amp;SUMPRODUCT((Scores!$I$29:$I$60="Drift")*(Scores!$C$29:$C$60&lt;&gt;""))&amp;" of "&amp;TestsUsed&amp;" tests"</f>
        <v>Old: 3–3 | New: drift better in 21 of 24 tests</v>
      </c>
      <c r="F9" s="5" t="s">
        <v>390</v>
      </c>
    </row>
    <row r="10" spans="1:6" ht="42" customHeight="1" x14ac:dyDescent="0.25">
      <c r="B10" s="56" t="s">
        <v>25</v>
      </c>
      <c r="C10" s="6" t="s">
        <v>391</v>
      </c>
      <c r="D10" s="5" t="s">
        <v>392</v>
      </c>
      <c r="E10" s="57" t="str">
        <f>"Backtest: "&amp;Scores!C11&amp;" times | Real forecast: "&amp;Forecast!C11</f>
        <v>Backtest: 0 times | Real forecast: Yes: the cap changes the forecast</v>
      </c>
      <c r="F10" s="5" t="s">
        <v>393</v>
      </c>
    </row>
    <row r="11" spans="1:6" ht="42" customHeight="1" x14ac:dyDescent="0.25">
      <c r="B11" s="56" t="s">
        <v>29</v>
      </c>
      <c r="C11" s="6" t="s">
        <v>394</v>
      </c>
      <c r="D11" s="5" t="s">
        <v>395</v>
      </c>
      <c r="E11" s="57" t="str">
        <f>"Last month used: "&amp;TEXT(LastMonth,"mmm yyyy")&amp;" ("&amp;NMonths&amp;" months)"</f>
        <v>Last month used: Apr 2024 (64 months)</v>
      </c>
      <c r="F11" s="5" t="s">
        <v>396</v>
      </c>
    </row>
    <row r="12" spans="1:6" ht="42" customHeight="1" x14ac:dyDescent="0.25">
      <c r="B12" s="56" t="s">
        <v>33</v>
      </c>
      <c r="C12" s="6" t="s">
        <v>397</v>
      </c>
      <c r="D12" s="5" t="s">
        <v>398</v>
      </c>
      <c r="E12" s="58">
        <f>SUMPRODUCT(ABS(CountrySplit!$D$40:$K$40))</f>
        <v>0</v>
      </c>
      <c r="F12" s="5" t="str">
        <f>IF(SUMPRODUCT(ABS(CountrySplit!$D$40:$K$40))&lt;0.005,"Pass: the split adds back to the total exactly.","Check the split.")</f>
        <v>Pass: the split adds back to the total exactly.</v>
      </c>
    </row>
    <row r="15" spans="1:6" x14ac:dyDescent="0.25">
      <c r="C15" s="3" t="s">
        <v>399</v>
      </c>
    </row>
    <row r="16" spans="1:6" x14ac:dyDescent="0.25">
      <c r="C16" s="21" t="s">
        <v>400</v>
      </c>
    </row>
    <row r="17" spans="3:9" ht="32.1" customHeight="1" x14ac:dyDescent="0.25">
      <c r="C17" s="4" t="s">
        <v>401</v>
      </c>
      <c r="D17" s="4" t="s">
        <v>239</v>
      </c>
      <c r="E17" s="4" t="s">
        <v>240</v>
      </c>
      <c r="F17" s="4" t="s">
        <v>241</v>
      </c>
      <c r="G17" s="4" t="s">
        <v>402</v>
      </c>
      <c r="H17" s="4" t="s">
        <v>403</v>
      </c>
      <c r="I17" s="4" t="s">
        <v>404</v>
      </c>
    </row>
    <row r="18" spans="3:9" x14ac:dyDescent="0.25">
      <c r="C18" s="22" t="s">
        <v>405</v>
      </c>
      <c r="D18" s="35">
        <f>AVERAGE(OldDesign!$L$9:$L$14)</f>
        <v>0.53955370265646108</v>
      </c>
      <c r="E18" s="35">
        <f>AVERAGE(OldDesign!$M$9:$M$14)</f>
        <v>9.8724532198150194E-2</v>
      </c>
      <c r="F18" s="35">
        <f>AVERAGE(OldDesign!$N$9:$N$14)</f>
        <v>0.13354077780969828</v>
      </c>
      <c r="G18" s="26">
        <f t="shared" ref="G18:I21" si="0">RANK(D18,$D18:$F18,1)</f>
        <v>3</v>
      </c>
      <c r="H18" s="26">
        <f t="shared" si="0"/>
        <v>1</v>
      </c>
      <c r="I18" s="26">
        <f t="shared" si="0"/>
        <v>2</v>
      </c>
    </row>
    <row r="19" spans="3:9" x14ac:dyDescent="0.25">
      <c r="C19" s="22" t="s">
        <v>406</v>
      </c>
      <c r="D19" s="35">
        <f>SUMPRODUCT(ABS(OldDesign!$G$9:$G$14-OldDesign!$F$9:$F$14)/((ABS(OldDesign!$G$9:$G$14)+ABS(OldDesign!$F$9:$F$14))/2))/COUNT(OldDesign!$F$9:$F$14)</f>
        <v>0.74443443742408555</v>
      </c>
      <c r="E19" s="35">
        <f>SUMPRODUCT(ABS(OldDesign!$J$9:$J$14-OldDesign!$F$9:$F$14)/((ABS(OldDesign!$J$9:$J$14)+ABS(OldDesign!$F$9:$F$14))/2))/COUNT(OldDesign!$F$9:$F$14)</f>
        <v>0.10422653360671678</v>
      </c>
      <c r="F19" s="35">
        <f>SUMPRODUCT(ABS(OldDesign!$K$9:$K$14-OldDesign!$F$9:$F$14)/((ABS(OldDesign!$K$9:$K$14)+ABS(OldDesign!$F$9:$F$14))/2))/COUNT(OldDesign!$F$9:$F$14)</f>
        <v>0.13216001773608707</v>
      </c>
      <c r="G19" s="26">
        <f t="shared" si="0"/>
        <v>3</v>
      </c>
      <c r="H19" s="26">
        <f t="shared" si="0"/>
        <v>1</v>
      </c>
      <c r="I19" s="26">
        <f t="shared" si="0"/>
        <v>2</v>
      </c>
    </row>
    <row r="20" spans="3:9" x14ac:dyDescent="0.25">
      <c r="C20" s="22" t="s">
        <v>407</v>
      </c>
      <c r="D20" s="35">
        <f>SQRT(SUMPRODUCT(((OldDesign!$G$9:$G$14-OldDesign!$F$9:$F$14)/OldDesign!$F$9:$F$14)^2)/COUNT(OldDesign!$F$9:$F$14))</f>
        <v>0.54346143221022591</v>
      </c>
      <c r="E20" s="35">
        <f>SQRT(SUMPRODUCT(((OldDesign!$J$9:$J$14-OldDesign!$F$9:$F$14)/OldDesign!$F$9:$F$14)^2)/COUNT(OldDesign!$F$9:$F$14))</f>
        <v>0.11450486764880097</v>
      </c>
      <c r="F20" s="35">
        <f>SQRT(SUMPRODUCT(((OldDesign!$K$9:$K$14-OldDesign!$F$9:$F$14)/OldDesign!$F$9:$F$14)^2)/COUNT(OldDesign!$F$9:$F$14))</f>
        <v>0.15738841361720893</v>
      </c>
      <c r="G20" s="26">
        <f t="shared" si="0"/>
        <v>3</v>
      </c>
      <c r="H20" s="26">
        <f t="shared" si="0"/>
        <v>1</v>
      </c>
      <c r="I20" s="26">
        <f t="shared" si="0"/>
        <v>2</v>
      </c>
    </row>
    <row r="21" spans="3:9" x14ac:dyDescent="0.25">
      <c r="C21" s="22" t="s">
        <v>408</v>
      </c>
      <c r="D21" s="35">
        <f>MEDIAN(OldDesign!$L$9:$L$14)</f>
        <v>0.53456439517984133</v>
      </c>
      <c r="E21" s="35">
        <f>MEDIAN(OldDesign!$M$9:$M$14)</f>
        <v>7.6439836889755308E-2</v>
      </c>
      <c r="F21" s="35">
        <f>MEDIAN(OldDesign!$N$9:$N$14)</f>
        <v>0.15026743936682416</v>
      </c>
      <c r="G21" s="26">
        <f t="shared" si="0"/>
        <v>3</v>
      </c>
      <c r="H21" s="26">
        <f t="shared" si="0"/>
        <v>1</v>
      </c>
      <c r="I21" s="26">
        <f t="shared" si="0"/>
        <v>2</v>
      </c>
    </row>
    <row r="22" spans="3:9" x14ac:dyDescent="0.25">
      <c r="C22" s="22" t="s">
        <v>409</v>
      </c>
      <c r="D22" s="35">
        <f>SUMPRODUCT(OldDesign!$G$9:$G$14/OldDesign!$F$9:$F$14-1)/COUNT(OldDesign!$F$9:$F$14)</f>
        <v>-0.53955370265646108</v>
      </c>
      <c r="E22" s="35">
        <f>SUMPRODUCT(OldDesign!$J$9:$J$14/OldDesign!$F$9:$F$14-1)/COUNT(OldDesign!$F$9:$F$14)</f>
        <v>-6.5943427213802239E-2</v>
      </c>
      <c r="F22" s="35">
        <f>SUMPRODUCT(OldDesign!$K$9:$K$14/OldDesign!$F$9:$F$14-1)/COUNT(OldDesign!$F$9:$F$14)</f>
        <v>6.095767532156608E-3</v>
      </c>
    </row>
    <row r="23" spans="3:9" x14ac:dyDescent="0.25">
      <c r="C23" s="22" t="s">
        <v>410</v>
      </c>
      <c r="D23" s="62"/>
      <c r="E23" s="62"/>
      <c r="F23" s="62"/>
      <c r="G23" s="62"/>
      <c r="H23" s="62"/>
      <c r="I23" s="12" t="str">
        <f>IF(AND(G18=G19,G19=G20,G20=G21,H18=H19,H19=H20,H20=H21,I18=I19,I19=I20,I20=I21),"Yes","No")</f>
        <v>Yes</v>
      </c>
    </row>
    <row r="25" spans="3:9" x14ac:dyDescent="0.25">
      <c r="C25" s="21" t="s">
        <v>411</v>
      </c>
    </row>
  </sheetData>
  <mergeCells count="1">
    <mergeCell ref="D23:H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5A5A5"/>
  </sheetPr>
  <dimension ref="A1:K59"/>
  <sheetViews>
    <sheetView showGridLines="0" workbookViewId="0"/>
  </sheetViews>
  <sheetFormatPr defaultRowHeight="15" x14ac:dyDescent="0.25"/>
  <cols>
    <col min="1" max="1" width="3" customWidth="1"/>
    <col min="2" max="2" width="10" customWidth="1"/>
    <col min="3" max="10" width="12" customWidth="1"/>
    <col min="11" max="11" width="14" customWidth="1"/>
  </cols>
  <sheetData>
    <row r="1" spans="1:11" ht="18" x14ac:dyDescent="0.25">
      <c r="A1" s="13" t="s">
        <v>412</v>
      </c>
    </row>
    <row r="2" spans="1:11" x14ac:dyDescent="0.25">
      <c r="A2" s="14" t="s">
        <v>413</v>
      </c>
    </row>
    <row r="3" spans="1:11" x14ac:dyDescent="0.25">
      <c r="A3" s="14" t="s">
        <v>414</v>
      </c>
    </row>
    <row r="4" spans="1:11" x14ac:dyDescent="0.25">
      <c r="B4" s="3" t="s">
        <v>415</v>
      </c>
    </row>
    <row r="5" spans="1:11" ht="20.100000000000001" customHeight="1" x14ac:dyDescent="0.25">
      <c r="B5" s="4" t="s">
        <v>214</v>
      </c>
      <c r="C5" s="4" t="s">
        <v>416</v>
      </c>
      <c r="D5" s="4" t="s">
        <v>417</v>
      </c>
      <c r="E5" s="4" t="s">
        <v>418</v>
      </c>
      <c r="F5" s="4" t="s">
        <v>419</v>
      </c>
      <c r="G5" s="4" t="s">
        <v>420</v>
      </c>
      <c r="H5" s="4" t="s">
        <v>421</v>
      </c>
      <c r="I5" s="4" t="s">
        <v>422</v>
      </c>
      <c r="J5" s="4" t="s">
        <v>423</v>
      </c>
      <c r="K5" s="4" t="s">
        <v>217</v>
      </c>
    </row>
    <row r="6" spans="1:11" x14ac:dyDescent="0.25">
      <c r="B6" s="59">
        <v>39</v>
      </c>
      <c r="C6" s="60">
        <v>77188.375524938514</v>
      </c>
      <c r="D6" s="60">
        <v>160573.39527397929</v>
      </c>
      <c r="E6" s="60">
        <v>180977.36460195351</v>
      </c>
      <c r="F6" s="60">
        <v>201004.14792281721</v>
      </c>
      <c r="G6" s="60">
        <v>224012.41527674781</v>
      </c>
      <c r="H6" s="60">
        <v>275432.89872154268</v>
      </c>
      <c r="I6" s="60">
        <v>302988.52982359368</v>
      </c>
      <c r="J6" s="60">
        <v>300603.22374393948</v>
      </c>
      <c r="K6" s="26">
        <f t="shared" ref="K6:K37" si="0">NMonths-B6</f>
        <v>25</v>
      </c>
    </row>
    <row r="7" spans="1:11" x14ac:dyDescent="0.25">
      <c r="B7" s="59">
        <v>38</v>
      </c>
      <c r="C7" s="60">
        <v>117875.0221070336</v>
      </c>
      <c r="D7" s="60">
        <v>132853.31003183909</v>
      </c>
      <c r="E7" s="60">
        <v>147554.67614444101</v>
      </c>
      <c r="F7" s="60">
        <v>164444.77728492511</v>
      </c>
      <c r="G7" s="60">
        <v>202191.57880997111</v>
      </c>
      <c r="H7" s="60">
        <v>222419.65473665699</v>
      </c>
      <c r="I7" s="60">
        <v>220668.78044301021</v>
      </c>
      <c r="J7" s="60">
        <v>262050.52324167901</v>
      </c>
      <c r="K7" s="26">
        <f t="shared" si="0"/>
        <v>26</v>
      </c>
    </row>
    <row r="8" spans="1:11" x14ac:dyDescent="0.25">
      <c r="B8" s="59">
        <v>37</v>
      </c>
      <c r="C8" s="60">
        <v>68727.41126083961</v>
      </c>
      <c r="D8" s="60">
        <v>76332.493654026519</v>
      </c>
      <c r="E8" s="60">
        <v>85069.860774863293</v>
      </c>
      <c r="F8" s="60">
        <v>104597.3015154632</v>
      </c>
      <c r="G8" s="60">
        <v>115061.9899660122</v>
      </c>
      <c r="H8" s="60">
        <v>114156.1782699336</v>
      </c>
      <c r="I8" s="60">
        <v>135562.87646401941</v>
      </c>
      <c r="J8" s="60">
        <v>150679.9954303354</v>
      </c>
      <c r="K8" s="26">
        <f t="shared" si="0"/>
        <v>27</v>
      </c>
    </row>
    <row r="9" spans="1:11" x14ac:dyDescent="0.25">
      <c r="B9" s="59">
        <v>36</v>
      </c>
      <c r="C9" s="60">
        <v>78703.401837745958</v>
      </c>
      <c r="D9" s="60">
        <v>87712.348461930931</v>
      </c>
      <c r="E9" s="60">
        <v>107846.16258686149</v>
      </c>
      <c r="F9" s="60">
        <v>118635.1890181098</v>
      </c>
      <c r="G9" s="60">
        <v>117701.2503057377</v>
      </c>
      <c r="H9" s="60">
        <v>139772.808874115</v>
      </c>
      <c r="I9" s="60">
        <v>155360.49757381261</v>
      </c>
      <c r="J9" s="60">
        <v>158313.78358578469</v>
      </c>
      <c r="K9" s="26">
        <f t="shared" si="0"/>
        <v>28</v>
      </c>
    </row>
    <row r="10" spans="1:11" x14ac:dyDescent="0.25">
      <c r="B10" s="59">
        <v>35</v>
      </c>
      <c r="C10" s="60">
        <v>82472.481357544413</v>
      </c>
      <c r="D10" s="60">
        <v>101403.4072253623</v>
      </c>
      <c r="E10" s="60">
        <v>111548.1056433597</v>
      </c>
      <c r="F10" s="60">
        <v>110669.5408404128</v>
      </c>
      <c r="G10" s="60">
        <v>131422.46254395609</v>
      </c>
      <c r="H10" s="60">
        <v>146077.80105006951</v>
      </c>
      <c r="I10" s="60">
        <v>148853.7962088481</v>
      </c>
      <c r="J10" s="60">
        <v>176362.96403676129</v>
      </c>
      <c r="K10" s="26">
        <f t="shared" si="0"/>
        <v>29</v>
      </c>
    </row>
    <row r="11" spans="1:11" x14ac:dyDescent="0.25">
      <c r="B11" s="59">
        <v>34</v>
      </c>
      <c r="C11" s="60">
        <v>92037.816936431787</v>
      </c>
      <c r="D11" s="60">
        <v>101245.73767748709</v>
      </c>
      <c r="E11" s="60">
        <v>100448.9005256463</v>
      </c>
      <c r="F11" s="60">
        <v>119285.78936719859</v>
      </c>
      <c r="G11" s="60">
        <v>132588.10750061661</v>
      </c>
      <c r="H11" s="60">
        <v>135108.13966077199</v>
      </c>
      <c r="I11" s="60">
        <v>160077.30531265811</v>
      </c>
      <c r="J11" s="60">
        <v>179945.23291861499</v>
      </c>
      <c r="K11" s="26">
        <f t="shared" si="0"/>
        <v>30</v>
      </c>
    </row>
    <row r="12" spans="1:11" x14ac:dyDescent="0.25">
      <c r="B12" s="59">
        <v>33</v>
      </c>
      <c r="C12" s="60">
        <v>88021.500612414631</v>
      </c>
      <c r="D12" s="60">
        <v>87328.28025669996</v>
      </c>
      <c r="E12" s="60">
        <v>103703.4384564643</v>
      </c>
      <c r="F12" s="60">
        <v>115266.6401331493</v>
      </c>
      <c r="G12" s="60">
        <v>117457.035869265</v>
      </c>
      <c r="H12" s="60">
        <v>139163.74458512681</v>
      </c>
      <c r="I12" s="60">
        <v>156436.62938898991</v>
      </c>
      <c r="J12" s="60">
        <v>261242.91324337831</v>
      </c>
      <c r="K12" s="26">
        <f t="shared" si="0"/>
        <v>31</v>
      </c>
    </row>
    <row r="13" spans="1:11" x14ac:dyDescent="0.25">
      <c r="B13" s="59">
        <v>32</v>
      </c>
      <c r="C13" s="60">
        <v>79670.745759437996</v>
      </c>
      <c r="D13" s="60">
        <v>94610.83139777185</v>
      </c>
      <c r="E13" s="60">
        <v>105161.9567935588</v>
      </c>
      <c r="F13" s="60">
        <v>107160.6630963934</v>
      </c>
      <c r="G13" s="60">
        <v>126963.7541321527</v>
      </c>
      <c r="H13" s="60">
        <v>142722.2553692993</v>
      </c>
      <c r="I13" s="60">
        <v>238341.41804836979</v>
      </c>
      <c r="J13" s="60">
        <v>271379.90790242981</v>
      </c>
      <c r="K13" s="26">
        <f t="shared" si="0"/>
        <v>32</v>
      </c>
    </row>
    <row r="14" spans="1:11" x14ac:dyDescent="0.25">
      <c r="B14" s="59">
        <v>31</v>
      </c>
      <c r="C14" s="60">
        <v>100850.8072928995</v>
      </c>
      <c r="D14" s="60">
        <v>112098.2718300305</v>
      </c>
      <c r="E14" s="60">
        <v>114229.43612881959</v>
      </c>
      <c r="F14" s="60">
        <v>135339.7108516322</v>
      </c>
      <c r="G14" s="60">
        <v>152137.4252530435</v>
      </c>
      <c r="H14" s="60">
        <v>254064.57993652791</v>
      </c>
      <c r="I14" s="60">
        <v>289281.73629426432</v>
      </c>
      <c r="J14" s="60">
        <v>314762.11004363297</v>
      </c>
      <c r="K14" s="26">
        <f t="shared" si="0"/>
        <v>33</v>
      </c>
    </row>
    <row r="15" spans="1:11" x14ac:dyDescent="0.25">
      <c r="B15" s="59">
        <v>30</v>
      </c>
      <c r="C15" s="60">
        <v>101454.59204096709</v>
      </c>
      <c r="D15" s="60">
        <v>103383.4836744379</v>
      </c>
      <c r="E15" s="60">
        <v>122489.86425622681</v>
      </c>
      <c r="F15" s="60">
        <v>137693.06644389991</v>
      </c>
      <c r="G15" s="60">
        <v>229942.46878874849</v>
      </c>
      <c r="H15" s="60">
        <v>261815.87863982041</v>
      </c>
      <c r="I15" s="60">
        <v>284876.65982144052</v>
      </c>
      <c r="J15" s="60">
        <v>307392.4482679505</v>
      </c>
      <c r="K15" s="26">
        <f t="shared" si="0"/>
        <v>34</v>
      </c>
    </row>
    <row r="16" spans="1:11" x14ac:dyDescent="0.25">
      <c r="B16" s="59">
        <v>29</v>
      </c>
      <c r="C16" s="60">
        <v>94010.661285440045</v>
      </c>
      <c r="D16" s="60">
        <v>111251.2839618196</v>
      </c>
      <c r="E16" s="60">
        <v>102518.82349231291</v>
      </c>
      <c r="F16" s="60">
        <v>142914.3347223867</v>
      </c>
      <c r="G16" s="60">
        <v>138323.49930167981</v>
      </c>
      <c r="H16" s="60">
        <v>130280.3802048653</v>
      </c>
      <c r="I16" s="60">
        <v>123912.7063289527</v>
      </c>
      <c r="J16" s="60">
        <v>130518.9425328537</v>
      </c>
      <c r="K16" s="26">
        <f t="shared" si="0"/>
        <v>35</v>
      </c>
    </row>
    <row r="17" spans="2:11" x14ac:dyDescent="0.25">
      <c r="B17" s="59">
        <v>28</v>
      </c>
      <c r="C17" s="60">
        <v>114706.67395241361</v>
      </c>
      <c r="D17" s="60">
        <v>106840.7024342229</v>
      </c>
      <c r="E17" s="60">
        <v>150500.6608627715</v>
      </c>
      <c r="F17" s="60">
        <v>147152.38547086521</v>
      </c>
      <c r="G17" s="60">
        <v>139972.41141217301</v>
      </c>
      <c r="H17" s="60">
        <v>134415.34666080619</v>
      </c>
      <c r="I17" s="60">
        <v>142907.71908761229</v>
      </c>
      <c r="J17" s="60">
        <v>140624.5759414506</v>
      </c>
      <c r="K17" s="26">
        <f t="shared" si="0"/>
        <v>36</v>
      </c>
    </row>
    <row r="18" spans="2:11" x14ac:dyDescent="0.25">
      <c r="B18" s="59">
        <v>27</v>
      </c>
      <c r="C18" s="60">
        <v>105273.3609743601</v>
      </c>
      <c r="D18" s="60">
        <v>147409.3261930102</v>
      </c>
      <c r="E18" s="60">
        <v>143305.86809134</v>
      </c>
      <c r="F18" s="60">
        <v>135566.39067907029</v>
      </c>
      <c r="G18" s="60">
        <v>129501.910650071</v>
      </c>
      <c r="H18" s="60">
        <v>136995.79047790961</v>
      </c>
      <c r="I18" s="60">
        <v>134165.8977753084</v>
      </c>
      <c r="J18" s="60">
        <v>127095.27908764681</v>
      </c>
      <c r="K18" s="26">
        <f t="shared" si="0"/>
        <v>37</v>
      </c>
    </row>
    <row r="19" spans="2:11" x14ac:dyDescent="0.25">
      <c r="B19" s="59">
        <v>26</v>
      </c>
      <c r="C19" s="60">
        <v>131196.46270587429</v>
      </c>
      <c r="D19" s="60">
        <v>121432.292301391</v>
      </c>
      <c r="E19" s="60">
        <v>109697.859498342</v>
      </c>
      <c r="F19" s="60">
        <v>100369.6632788194</v>
      </c>
      <c r="G19" s="60">
        <v>102003.79427661181</v>
      </c>
      <c r="H19" s="60">
        <v>96258.253949615391</v>
      </c>
      <c r="I19" s="60">
        <v>88127.878932089865</v>
      </c>
      <c r="J19" s="60">
        <v>93399.416495698708</v>
      </c>
      <c r="K19" s="26">
        <f t="shared" si="0"/>
        <v>38</v>
      </c>
    </row>
    <row r="20" spans="2:11" x14ac:dyDescent="0.25">
      <c r="B20" s="59">
        <v>25</v>
      </c>
      <c r="C20" s="60">
        <v>105193.8901772683</v>
      </c>
      <c r="D20" s="60">
        <v>89311.668039742464</v>
      </c>
      <c r="E20" s="60">
        <v>76960.215418944485</v>
      </c>
      <c r="F20" s="60">
        <v>73813.715710273827</v>
      </c>
      <c r="G20" s="60">
        <v>65874.543119802373</v>
      </c>
      <c r="H20" s="60">
        <v>57155.037178508028</v>
      </c>
      <c r="I20" s="60">
        <v>57523.508288632052</v>
      </c>
      <c r="J20" s="60">
        <v>55959.996091326073</v>
      </c>
      <c r="K20" s="26">
        <f t="shared" si="0"/>
        <v>39</v>
      </c>
    </row>
    <row r="21" spans="2:11" x14ac:dyDescent="0.25">
      <c r="B21" s="59">
        <v>24</v>
      </c>
      <c r="C21" s="60">
        <v>100215.4484049427</v>
      </c>
      <c r="D21" s="60">
        <v>90805.332364806629</v>
      </c>
      <c r="E21" s="60">
        <v>91474.478939311099</v>
      </c>
      <c r="F21" s="60">
        <v>85645.451358525403</v>
      </c>
      <c r="G21" s="60">
        <v>77868.769763598219</v>
      </c>
      <c r="H21" s="60">
        <v>82032.252857703919</v>
      </c>
      <c r="I21" s="60">
        <v>83434.454513914228</v>
      </c>
      <c r="J21" s="60">
        <v>81437.791000023048</v>
      </c>
      <c r="K21" s="26">
        <f t="shared" si="0"/>
        <v>40</v>
      </c>
    </row>
    <row r="22" spans="2:11" x14ac:dyDescent="0.25">
      <c r="B22" s="59">
        <v>23</v>
      </c>
      <c r="C22" s="60">
        <v>118563.1328670548</v>
      </c>
      <c r="D22" s="60">
        <v>131603.86861113389</v>
      </c>
      <c r="E22" s="60">
        <v>135204.5488448219</v>
      </c>
      <c r="F22" s="60">
        <v>134327.1539423452</v>
      </c>
      <c r="G22" s="60">
        <v>153988.5891988026</v>
      </c>
      <c r="H22" s="60">
        <v>169726.73622419481</v>
      </c>
      <c r="I22" s="60">
        <v>178784.7503836251</v>
      </c>
      <c r="J22" s="60">
        <v>222683.12710073529</v>
      </c>
      <c r="K22" s="26">
        <f t="shared" si="0"/>
        <v>41</v>
      </c>
    </row>
    <row r="23" spans="2:11" x14ac:dyDescent="0.25">
      <c r="B23" s="59">
        <v>22</v>
      </c>
      <c r="C23" s="60">
        <v>158424.23108920961</v>
      </c>
      <c r="D23" s="60">
        <v>175373.95814388749</v>
      </c>
      <c r="E23" s="60">
        <v>187461.19516935229</v>
      </c>
      <c r="F23" s="60">
        <v>230869.1297195277</v>
      </c>
      <c r="G23" s="60">
        <v>272968.23418864119</v>
      </c>
      <c r="H23" s="60">
        <v>307984.49429728591</v>
      </c>
      <c r="I23" s="60">
        <v>410409.89450278872</v>
      </c>
      <c r="J23" s="60">
        <v>412291.53239816381</v>
      </c>
      <c r="K23" s="26">
        <f t="shared" si="0"/>
        <v>42</v>
      </c>
    </row>
    <row r="24" spans="2:11" x14ac:dyDescent="0.25">
      <c r="B24" s="59">
        <v>21</v>
      </c>
      <c r="C24" s="60">
        <v>138218.69798474471</v>
      </c>
      <c r="D24" s="60">
        <v>134410.1919767326</v>
      </c>
      <c r="E24" s="60">
        <v>150678.33260191599</v>
      </c>
      <c r="F24" s="60">
        <v>162257.16882260091</v>
      </c>
      <c r="G24" s="60">
        <v>166828.46829651599</v>
      </c>
      <c r="H24" s="60">
        <v>202958.32419504819</v>
      </c>
      <c r="I24" s="60">
        <v>189372.46667775989</v>
      </c>
      <c r="J24" s="60">
        <v>262472.86998215981</v>
      </c>
      <c r="K24" s="26">
        <f t="shared" si="0"/>
        <v>43</v>
      </c>
    </row>
    <row r="25" spans="2:11" x14ac:dyDescent="0.25">
      <c r="B25" s="59">
        <v>20</v>
      </c>
      <c r="C25" s="60">
        <v>141090.06211981879</v>
      </c>
      <c r="D25" s="60">
        <v>160842.8943729336</v>
      </c>
      <c r="E25" s="60">
        <v>176058.071584413</v>
      </c>
      <c r="F25" s="60">
        <v>183924.60420138299</v>
      </c>
      <c r="G25" s="60">
        <v>227253.07525099989</v>
      </c>
      <c r="H25" s="60">
        <v>215265.62354785611</v>
      </c>
      <c r="I25" s="60">
        <v>302803.39312562218</v>
      </c>
      <c r="J25" s="60">
        <v>304363.33842942381</v>
      </c>
      <c r="K25" s="26">
        <f t="shared" si="0"/>
        <v>44</v>
      </c>
    </row>
    <row r="26" spans="2:11" x14ac:dyDescent="0.25">
      <c r="B26" s="59">
        <v>19</v>
      </c>
      <c r="C26" s="60">
        <v>154581.9116583445</v>
      </c>
      <c r="D26" s="60">
        <v>166897.73894820031</v>
      </c>
      <c r="E26" s="60">
        <v>172035.1397871204</v>
      </c>
      <c r="F26" s="60">
        <v>209806.54829630561</v>
      </c>
      <c r="G26" s="60">
        <v>196259.73588384359</v>
      </c>
      <c r="H26" s="60">
        <v>272691.25646962191</v>
      </c>
      <c r="I26" s="60">
        <v>270809.04361739161</v>
      </c>
      <c r="J26" s="60">
        <v>269914.8740374156</v>
      </c>
      <c r="K26" s="26">
        <f t="shared" si="0"/>
        <v>45</v>
      </c>
    </row>
    <row r="27" spans="2:11" x14ac:dyDescent="0.25">
      <c r="B27" s="59">
        <v>18</v>
      </c>
      <c r="C27" s="60">
        <v>163407.19986649041</v>
      </c>
      <c r="D27" s="60">
        <v>167214.6824698727</v>
      </c>
      <c r="E27" s="60">
        <v>202485.9155637121</v>
      </c>
      <c r="F27" s="60">
        <v>188112.63531600079</v>
      </c>
      <c r="G27" s="60">
        <v>259617.5453704157</v>
      </c>
      <c r="H27" s="60">
        <v>256132.86518493999</v>
      </c>
      <c r="I27" s="60">
        <v>253649.45646566941</v>
      </c>
      <c r="J27" s="60">
        <v>256453.77788856329</v>
      </c>
      <c r="K27" s="26">
        <f t="shared" si="0"/>
        <v>46</v>
      </c>
    </row>
    <row r="28" spans="2:11" x14ac:dyDescent="0.25">
      <c r="B28" s="59">
        <v>17</v>
      </c>
      <c r="C28" s="60">
        <v>154866.83410128279</v>
      </c>
      <c r="D28" s="60">
        <v>182639.8184892172</v>
      </c>
      <c r="E28" s="60">
        <v>165384.45419059199</v>
      </c>
      <c r="F28" s="60">
        <v>222594.53677302491</v>
      </c>
      <c r="G28" s="60">
        <v>214277.76327259271</v>
      </c>
      <c r="H28" s="60">
        <v>207160.29811001531</v>
      </c>
      <c r="I28" s="60">
        <v>204584.693047382</v>
      </c>
      <c r="J28" s="60">
        <v>213782.67252642341</v>
      </c>
      <c r="K28" s="26">
        <f t="shared" si="0"/>
        <v>47</v>
      </c>
    </row>
    <row r="29" spans="2:11" x14ac:dyDescent="0.25">
      <c r="B29" s="59">
        <v>16</v>
      </c>
      <c r="C29" s="60">
        <v>193447.00204942969</v>
      </c>
      <c r="D29" s="60">
        <v>178674.2719644967</v>
      </c>
      <c r="E29" s="60">
        <v>245192.09042590851</v>
      </c>
      <c r="F29" s="60">
        <v>240554.6013124568</v>
      </c>
      <c r="G29" s="60">
        <v>236919.85503684089</v>
      </c>
      <c r="H29" s="60">
        <v>238257.52573185851</v>
      </c>
      <c r="I29" s="60">
        <v>253420.1229332168</v>
      </c>
      <c r="J29" s="60">
        <v>254761.02751866769</v>
      </c>
      <c r="K29" s="26">
        <f t="shared" si="0"/>
        <v>48</v>
      </c>
    </row>
    <row r="30" spans="2:11" x14ac:dyDescent="0.25">
      <c r="B30" s="59">
        <v>15</v>
      </c>
      <c r="C30" s="60">
        <v>171946.8201074872</v>
      </c>
      <c r="D30" s="60">
        <v>232872.5944217745</v>
      </c>
      <c r="E30" s="60">
        <v>225540.32276795551</v>
      </c>
      <c r="F30" s="60">
        <v>219348.2037827431</v>
      </c>
      <c r="G30" s="60">
        <v>217880.26209312069</v>
      </c>
      <c r="H30" s="60">
        <v>228966.44233610769</v>
      </c>
      <c r="I30" s="60">
        <v>227478.63910086069</v>
      </c>
      <c r="J30" s="60">
        <v>216293.57168863941</v>
      </c>
      <c r="K30" s="26">
        <f t="shared" si="0"/>
        <v>49</v>
      </c>
    </row>
    <row r="31" spans="2:11" x14ac:dyDescent="0.25">
      <c r="B31" s="59">
        <v>14</v>
      </c>
      <c r="C31" s="60">
        <v>258308.08741403031</v>
      </c>
      <c r="D31" s="60">
        <v>281288.03510837379</v>
      </c>
      <c r="E31" s="60">
        <v>303562.21751436341</v>
      </c>
      <c r="F31" s="60">
        <v>330216.10187890381</v>
      </c>
      <c r="G31" s="60">
        <v>375056.93254375819</v>
      </c>
      <c r="H31" s="60">
        <v>397459.54972966912</v>
      </c>
      <c r="I31" s="60">
        <v>397835.28234022402</v>
      </c>
      <c r="J31" s="60">
        <v>452970.47640121641</v>
      </c>
      <c r="K31" s="26">
        <f t="shared" si="0"/>
        <v>50</v>
      </c>
    </row>
    <row r="32" spans="2:11" x14ac:dyDescent="0.25">
      <c r="B32" s="59">
        <v>13</v>
      </c>
      <c r="C32" s="60">
        <v>158320.5383746138</v>
      </c>
      <c r="D32" s="60">
        <v>136563.76129368629</v>
      </c>
      <c r="E32" s="60">
        <v>120619.3135291416</v>
      </c>
      <c r="F32" s="60">
        <v>112999.45094459791</v>
      </c>
      <c r="G32" s="60">
        <v>100337.8156713909</v>
      </c>
      <c r="H32" s="60">
        <v>85487.418637659051</v>
      </c>
      <c r="I32" s="60">
        <v>84164.814065315761</v>
      </c>
      <c r="J32" s="60">
        <v>78973.929973867489</v>
      </c>
      <c r="K32" s="26">
        <f t="shared" si="0"/>
        <v>51</v>
      </c>
    </row>
    <row r="33" spans="2:11" x14ac:dyDescent="0.25">
      <c r="B33" s="59">
        <v>12</v>
      </c>
      <c r="C33" s="60">
        <v>185696.38655415361</v>
      </c>
      <c r="D33" s="60">
        <v>182389.9487660033</v>
      </c>
      <c r="E33" s="60">
        <v>189574.48760778399</v>
      </c>
      <c r="F33" s="60">
        <v>186331.88075976359</v>
      </c>
      <c r="G33" s="60">
        <v>175326.83692544789</v>
      </c>
      <c r="H33" s="60">
        <v>190194.56348490421</v>
      </c>
      <c r="I33" s="60">
        <v>196188.7595699782</v>
      </c>
      <c r="J33" s="60">
        <v>196273.5693843427</v>
      </c>
      <c r="K33" s="26">
        <f t="shared" si="0"/>
        <v>52</v>
      </c>
    </row>
    <row r="34" spans="2:11" x14ac:dyDescent="0.25">
      <c r="B34" s="59">
        <v>11</v>
      </c>
      <c r="C34" s="60">
        <v>219975.82049603321</v>
      </c>
      <c r="D34" s="60">
        <v>244011.62832435369</v>
      </c>
      <c r="E34" s="60">
        <v>255679.64365356349</v>
      </c>
      <c r="F34" s="60">
        <v>256183.79718621299</v>
      </c>
      <c r="G34" s="60">
        <v>295610.87455572077</v>
      </c>
      <c r="H34" s="60">
        <v>323992.94925039768</v>
      </c>
      <c r="I34" s="60">
        <v>344020.73773611832</v>
      </c>
      <c r="J34" s="60">
        <v>427647.11584837968</v>
      </c>
      <c r="K34" s="26">
        <f t="shared" si="0"/>
        <v>53</v>
      </c>
    </row>
    <row r="35" spans="2:11" x14ac:dyDescent="0.25">
      <c r="B35" s="59">
        <v>10</v>
      </c>
      <c r="C35" s="60">
        <v>219673.8130048764</v>
      </c>
      <c r="D35" s="60">
        <v>221941.0433455779</v>
      </c>
      <c r="E35" s="60">
        <v>214545.22540429901</v>
      </c>
      <c r="F35" s="60">
        <v>238978.70082574399</v>
      </c>
      <c r="G35" s="60">
        <v>252986.3542124244</v>
      </c>
      <c r="H35" s="60">
        <v>259607.60870562779</v>
      </c>
      <c r="I35" s="60">
        <v>312060.64552068128</v>
      </c>
      <c r="J35" s="60">
        <v>287056.14218432689</v>
      </c>
      <c r="K35" s="26">
        <f t="shared" si="0"/>
        <v>54</v>
      </c>
    </row>
    <row r="36" spans="2:11" x14ac:dyDescent="0.25">
      <c r="B36" s="59">
        <v>9</v>
      </c>
      <c r="C36" s="60">
        <v>242534.38428376289</v>
      </c>
      <c r="D36" s="60">
        <v>241647.7135446333</v>
      </c>
      <c r="E36" s="60">
        <v>277277.65852071991</v>
      </c>
      <c r="F36" s="60">
        <v>302206.87388017518</v>
      </c>
      <c r="G36" s="60">
        <v>319105.35390714038</v>
      </c>
      <c r="H36" s="60">
        <v>394481.70624973148</v>
      </c>
      <c r="I36" s="60">
        <v>372920.75434903428</v>
      </c>
      <c r="J36" s="60">
        <v>505273.91535016452</v>
      </c>
      <c r="K36" s="26">
        <f t="shared" si="0"/>
        <v>55</v>
      </c>
    </row>
    <row r="37" spans="2:11" x14ac:dyDescent="0.25">
      <c r="B37" s="59">
        <v>8</v>
      </c>
      <c r="C37" s="60">
        <v>247168.28464112661</v>
      </c>
      <c r="D37" s="60">
        <v>285815.1418645879</v>
      </c>
      <c r="E37" s="60">
        <v>313887.29476609977</v>
      </c>
      <c r="F37" s="60">
        <v>333921.42350041261</v>
      </c>
      <c r="G37" s="60">
        <v>415827.73565690097</v>
      </c>
      <c r="H37" s="60">
        <v>395880.78372154542</v>
      </c>
      <c r="I37" s="60">
        <v>540121.06186953187</v>
      </c>
      <c r="J37" s="60">
        <v>557020.58034660807</v>
      </c>
      <c r="K37" s="26">
        <f t="shared" si="0"/>
        <v>56</v>
      </c>
    </row>
    <row r="40" spans="2:11" x14ac:dyDescent="0.25">
      <c r="B40" s="3" t="s">
        <v>424</v>
      </c>
    </row>
    <row r="41" spans="2:11" ht="20.100000000000001" customHeight="1" x14ac:dyDescent="0.25">
      <c r="B41" s="4" t="s">
        <v>214</v>
      </c>
      <c r="C41" s="4" t="s">
        <v>425</v>
      </c>
    </row>
    <row r="42" spans="2:11" x14ac:dyDescent="0.25">
      <c r="B42" s="59">
        <v>6</v>
      </c>
      <c r="C42" s="60">
        <v>299376.0748463085</v>
      </c>
    </row>
    <row r="43" spans="2:11" x14ac:dyDescent="0.25">
      <c r="B43" s="59">
        <v>5</v>
      </c>
      <c r="C43" s="60">
        <v>308795.32176880178</v>
      </c>
    </row>
    <row r="44" spans="2:11" x14ac:dyDescent="0.25">
      <c r="B44" s="59">
        <v>4</v>
      </c>
      <c r="C44" s="60">
        <v>406969.84535964811</v>
      </c>
    </row>
    <row r="45" spans="2:11" x14ac:dyDescent="0.25">
      <c r="B45" s="59">
        <v>3</v>
      </c>
      <c r="C45" s="60">
        <v>307438.66123645322</v>
      </c>
    </row>
    <row r="46" spans="2:11" x14ac:dyDescent="0.25">
      <c r="B46" s="59">
        <v>2</v>
      </c>
      <c r="C46" s="60">
        <v>551176.32012038096</v>
      </c>
    </row>
    <row r="47" spans="2:11" x14ac:dyDescent="0.25">
      <c r="B47" s="59">
        <v>1</v>
      </c>
      <c r="C47" s="60">
        <v>476681.41775285488</v>
      </c>
    </row>
    <row r="50" spans="2:3" x14ac:dyDescent="0.25">
      <c r="B50" s="3" t="s">
        <v>426</v>
      </c>
    </row>
    <row r="51" spans="2:3" ht="20.100000000000001" customHeight="1" x14ac:dyDescent="0.25">
      <c r="B51" s="4" t="s">
        <v>5</v>
      </c>
      <c r="C51" s="4" t="s">
        <v>425</v>
      </c>
    </row>
    <row r="52" spans="2:3" x14ac:dyDescent="0.25">
      <c r="B52" s="59">
        <v>1</v>
      </c>
      <c r="C52" s="60">
        <v>587529.42406327417</v>
      </c>
    </row>
    <row r="53" spans="2:3" x14ac:dyDescent="0.25">
      <c r="B53" s="59">
        <v>2</v>
      </c>
      <c r="C53" s="60">
        <v>656018.60953160794</v>
      </c>
    </row>
    <row r="54" spans="2:3" x14ac:dyDescent="0.25">
      <c r="B54" s="59">
        <v>3</v>
      </c>
      <c r="C54" s="60">
        <v>788823.78246896027</v>
      </c>
    </row>
    <row r="55" spans="2:3" x14ac:dyDescent="0.25">
      <c r="B55" s="59">
        <v>4</v>
      </c>
      <c r="C55" s="60">
        <v>894566.13227433769</v>
      </c>
    </row>
    <row r="56" spans="2:3" x14ac:dyDescent="0.25">
      <c r="B56" s="59">
        <v>5</v>
      </c>
      <c r="C56" s="60">
        <v>980272.24812575895</v>
      </c>
    </row>
    <row r="57" spans="2:3" x14ac:dyDescent="0.25">
      <c r="B57" s="59">
        <v>6</v>
      </c>
      <c r="C57" s="60">
        <v>1206104.0424603319</v>
      </c>
    </row>
    <row r="58" spans="2:3" x14ac:dyDescent="0.25">
      <c r="B58" s="59">
        <v>7</v>
      </c>
      <c r="C58" s="60">
        <v>1423601.352755388</v>
      </c>
    </row>
    <row r="59" spans="2:3" x14ac:dyDescent="0.25">
      <c r="B59" s="59">
        <v>8</v>
      </c>
      <c r="C59" s="60">
        <v>1647845.7522459689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23</vt:i4>
      </vt:variant>
    </vt:vector>
  </HeadingPairs>
  <TitlesOfParts>
    <vt:vector size="37" baseType="lpstr">
      <vt:lpstr>Guide</vt:lpstr>
      <vt:lpstr>Data</vt:lpstr>
      <vt:lpstr>Settings</vt:lpstr>
      <vt:lpstr>OneTest</vt:lpstr>
      <vt:lpstr>Backtest</vt:lpstr>
      <vt:lpstr>Scores</vt:lpstr>
      <vt:lpstr>OldDesign</vt:lpstr>
      <vt:lpstr>Forecast</vt:lpstr>
      <vt:lpstr>Scenarios</vt:lpstr>
      <vt:lpstr>CountrySplit</vt:lpstr>
      <vt:lpstr>VsPlan</vt:lpstr>
      <vt:lpstr>Checks</vt:lpstr>
      <vt:lpstr>ReviewChecks</vt:lpstr>
      <vt:lpstr>HW_Python</vt:lpstr>
      <vt:lpstr>Champion</vt:lpstr>
      <vt:lpstr>ClipHigh</vt:lpstr>
      <vt:lpstr>ClipLow</vt:lpstr>
      <vt:lpstr>FcChosen</vt:lpstr>
      <vt:lpstr>FcMonths</vt:lpstr>
      <vt:lpstr>Horizon</vt:lpstr>
      <vt:lpstr>HWOffsets</vt:lpstr>
      <vt:lpstr>HWOld</vt:lpstr>
      <vt:lpstr>HWOldOffsets</vt:lpstr>
      <vt:lpstr>HWProd</vt:lpstr>
      <vt:lpstr>HWTable</vt:lpstr>
      <vt:lpstr>LastMonth</vt:lpstr>
      <vt:lpstr>LogSales</vt:lpstr>
      <vt:lpstr>Margin</vt:lpstr>
      <vt:lpstr>MaxTests</vt:lpstr>
      <vt:lpstr>MinTrain</vt:lpstr>
      <vt:lpstr>Months</vt:lpstr>
      <vt:lpstr>NMonths</vt:lpstr>
      <vt:lpstr>Origins</vt:lpstr>
      <vt:lpstr>RowIdx</vt:lpstr>
      <vt:lpstr>Sales</vt:lpstr>
      <vt:lpstr>Season</vt:lpstr>
      <vt:lpstr>TestsUsed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Phan</cp:lastModifiedBy>
  <dcterms:created xsi:type="dcterms:W3CDTF">2026-10-17T14:17:17Z</dcterms:created>
  <dcterms:modified xsi:type="dcterms:W3CDTF">2026-10-17T14:17:21Z</dcterms:modified>
</cp:coreProperties>
</file>