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Plan vs Actual" sheetId="2" state="visible" r:id="rId2"/>
    <sheet xmlns:r="http://schemas.openxmlformats.org/officeDocument/2006/relationships" name="Price-Volume-Mix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;[Red]-0.0%"/>
    <numFmt numFmtId="166" formatCode="#,##0.00;[Red](#,##0.00)"/>
  </numFmts>
  <fonts count="5">
    <font>
      <name val="Calibri"/>
      <family val="2"/>
      <color theme="1"/>
      <sz val="11"/>
      <scheme val="minor"/>
    </font>
    <font>
      <b val="1"/>
      <color rgb="002457A7"/>
      <sz val="14"/>
    </font>
    <font>
      <i val="1"/>
      <color rgb="00595959"/>
      <sz val="9"/>
    </font>
    <font>
      <b val="1"/>
      <color rgb="00FFFFFF"/>
    </font>
    <font>
      <b val="1"/>
      <color rgb="0020242C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6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 and net profit</a:t>
            </a:r>
          </a:p>
        </rich>
      </tx>
    </title>
    <plotArea>
      <lineChart>
        <grouping val="standard"/>
        <ser>
          <idx val="0"/>
          <order val="0"/>
          <tx>
            <strRef>
              <f>'Scorecard'!B18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'Scorecard'!$A$19:$A$46</f>
            </numRef>
          </cat>
          <val>
            <numRef>
              <f>'Scorecard'!$B$19:$B$46</f>
            </numRef>
          </val>
        </ser>
        <ser>
          <idx val="1"/>
          <order val="1"/>
          <tx>
            <strRef>
              <f>'Scorecard'!C18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'Scorecard'!$A$19:$A$46</f>
            </numRef>
          </cat>
          <val>
            <numRef>
              <f>'Scorecard'!$C$19:$C$46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bridge by effect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'Price-Volume-Mix'!E6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'Price-Volume-Mix'!$A$7:$A$9</f>
            </numRef>
          </cat>
          <val>
            <numRef>
              <f>'Price-Volume-Mix'!$E$7:$E$9</f>
            </numRef>
          </val>
        </ser>
        <ser>
          <idx val="1"/>
          <order val="1"/>
          <tx>
            <strRef>
              <f>'Price-Volume-Mix'!F6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'Price-Volume-Mix'!$A$7:$A$9</f>
            </numRef>
          </cat>
          <val>
            <numRef>
              <f>'Price-Volume-Mix'!$F$7:$F$9</f>
            </numRef>
          </val>
        </ser>
        <ser>
          <idx val="2"/>
          <order val="2"/>
          <tx>
            <strRef>
              <f>'Price-Volume-Mix'!G6</f>
            </strRef>
          </tx>
          <spPr>
            <a:ln xmlns:a="http://schemas.openxmlformats.org/drawingml/2006/main">
              <a:prstDash val="solid"/>
            </a:ln>
          </spPr>
          <cat>
            <numRef>
              <f>'Price-Volume-Mix'!$A$7:$A$9</f>
            </numRef>
          </cat>
          <val>
            <numRef>
              <f>'Price-Volume-Mix'!$G$7:$G$9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2" customWidth="1" min="4" max="4"/>
    <col width="25" customWidth="1" min="5" max="5"/>
    <col width="22" customWidth="1" min="6" max="6"/>
    <col width="25" customWidth="1" min="7" max="7"/>
    <col width="16" customWidth="1" min="8" max="8"/>
    <col width="21" customWidth="1" min="9" max="9"/>
    <col width="12" customWidth="1" min="10" max="10"/>
  </cols>
  <sheetData>
    <row r="1">
      <c r="A1" s="1" t="inlineStr">
        <is>
          <t>Commercial Scorecard - April 2024</t>
        </is>
      </c>
    </row>
    <row r="2">
      <c r="A2" s="2" t="inlineStr">
        <is>
          <t>Latest complete month. Plan targets exist for Net Sales and Units only; other KPIs are tracked against prior month and last year.</t>
        </is>
      </c>
    </row>
    <row r="4">
      <c r="A4" s="3" t="inlineStr">
        <is>
          <t>KPI</t>
        </is>
      </c>
      <c r="B4" s="3" t="inlineStr">
        <is>
          <t>Month</t>
        </is>
      </c>
      <c r="C4" s="3" t="inlineStr">
        <is>
          <t>Actual</t>
        </is>
      </c>
      <c r="D4" s="3" t="inlineStr">
        <is>
          <t>Prior month</t>
        </is>
      </c>
      <c r="E4" s="3" t="inlineStr">
        <is>
          <t>MoM %</t>
        </is>
      </c>
      <c r="F4" s="3" t="inlineStr">
        <is>
          <t>Last year</t>
        </is>
      </c>
      <c r="G4" s="3" t="inlineStr">
        <is>
          <t>YoY %</t>
        </is>
      </c>
      <c r="H4" s="3" t="inlineStr">
        <is>
          <t>Plan</t>
        </is>
      </c>
      <c r="I4" s="3" t="inlineStr">
        <is>
          <t>vs Plan %</t>
        </is>
      </c>
      <c r="J4" s="3" t="inlineStr">
        <is>
          <t>Status</t>
        </is>
      </c>
    </row>
    <row r="5">
      <c r="A5" s="4" t="inlineStr">
        <is>
          <t>Net Sales</t>
        </is>
      </c>
      <c r="B5" s="5" t="n">
        <v>45383</v>
      </c>
      <c r="C5" s="6" t="n">
        <v>550157.8805168867</v>
      </c>
      <c r="D5" s="6" t="n">
        <v>441334.2104605436</v>
      </c>
      <c r="E5" s="7" t="n">
        <v>0.2465788227538099</v>
      </c>
      <c r="F5" s="6" t="n">
        <v>193149.9600727558</v>
      </c>
      <c r="G5" s="7" t="n">
        <v>1.848345815394696</v>
      </c>
      <c r="H5" s="6" t="n">
        <v>359799.983182</v>
      </c>
      <c r="I5" s="7" t="n">
        <v>1.529065887250464</v>
      </c>
      <c r="J5" s="4" t="inlineStr">
        <is>
          <t>Green</t>
        </is>
      </c>
    </row>
    <row r="6">
      <c r="A6" s="4" t="inlineStr">
        <is>
          <t>Net Profit</t>
        </is>
      </c>
      <c r="B6" s="5" t="n">
        <v>45383</v>
      </c>
      <c r="C6" s="6" t="n">
        <v>285251.2633104902</v>
      </c>
      <c r="D6" s="6" t="n">
        <v>229097.5400893397</v>
      </c>
      <c r="E6" s="7" t="n">
        <v>0.2451083638840144</v>
      </c>
      <c r="F6" s="6" t="n">
        <v>100114.8168756528</v>
      </c>
      <c r="G6" s="7" t="n">
        <v>1.849241223352436</v>
      </c>
      <c r="H6" s="6" t="n"/>
      <c r="I6" s="7" t="n"/>
      <c r="J6" s="4" t="inlineStr">
        <is>
          <t>No plan</t>
        </is>
      </c>
    </row>
    <row r="7">
      <c r="A7" s="4" t="inlineStr">
        <is>
          <t>Net Margin Rate</t>
        </is>
      </c>
      <c r="B7" s="5" t="n">
        <v>45383</v>
      </c>
      <c r="C7" s="6" t="n">
        <v>0.5184898252161537</v>
      </c>
      <c r="D7" s="6" t="n">
        <v>0.5191021558248805</v>
      </c>
      <c r="E7" s="7" t="n">
        <v>-0.001179595580283688</v>
      </c>
      <c r="F7" s="6" t="n">
        <v>0.5183268836190363</v>
      </c>
      <c r="G7" s="7" t="n">
        <v>0.0003143606906508278</v>
      </c>
      <c r="H7" s="6" t="n"/>
      <c r="I7" s="7" t="n"/>
      <c r="J7" s="4" t="inlineStr">
        <is>
          <t>No plan</t>
        </is>
      </c>
    </row>
    <row r="8">
      <c r="A8" s="4" t="inlineStr">
        <is>
          <t>Units Sold</t>
        </is>
      </c>
      <c r="B8" s="5" t="n">
        <v>45383</v>
      </c>
      <c r="C8" s="6" t="n">
        <v>12313</v>
      </c>
      <c r="D8" s="6" t="n">
        <v>10040</v>
      </c>
      <c r="E8" s="7" t="n">
        <v>0.226394422310757</v>
      </c>
      <c r="F8" s="6" t="n">
        <v>4348</v>
      </c>
      <c r="G8" s="7" t="n">
        <v>1.831876724931003</v>
      </c>
      <c r="H8" s="6" t="n">
        <v>6036</v>
      </c>
      <c r="I8" s="7" t="n">
        <v>2.039927104042412</v>
      </c>
      <c r="J8" s="4" t="inlineStr">
        <is>
          <t>Green</t>
        </is>
      </c>
    </row>
    <row r="9">
      <c r="A9" s="4" t="inlineStr">
        <is>
          <t>Orders</t>
        </is>
      </c>
      <c r="B9" s="5" t="n">
        <v>45383</v>
      </c>
      <c r="C9" s="6" t="n">
        <v>8703</v>
      </c>
      <c r="D9" s="6" t="n">
        <v>7122</v>
      </c>
      <c r="E9" s="7" t="n">
        <v>0.2219882055602358</v>
      </c>
      <c r="F9" s="6" t="n">
        <v>3060</v>
      </c>
      <c r="G9" s="7" t="n">
        <v>1.844117647058824</v>
      </c>
      <c r="H9" s="6" t="n"/>
      <c r="I9" s="7" t="n"/>
      <c r="J9" s="4" t="inlineStr">
        <is>
          <t>No plan</t>
        </is>
      </c>
    </row>
    <row r="10">
      <c r="A10" s="4" t="inlineStr">
        <is>
          <t>Active Customers</t>
        </is>
      </c>
      <c r="B10" s="5" t="n">
        <v>45383</v>
      </c>
      <c r="C10" s="6" t="n">
        <v>7656</v>
      </c>
      <c r="D10" s="6" t="n">
        <v>6568</v>
      </c>
      <c r="E10" s="7" t="n">
        <v>0.1656516443361753</v>
      </c>
      <c r="F10" s="6" t="n">
        <v>2995</v>
      </c>
      <c r="G10" s="7" t="n">
        <v>1.556260434056761</v>
      </c>
      <c r="H10" s="6" t="n"/>
      <c r="I10" s="7" t="n"/>
      <c r="J10" s="4" t="inlineStr">
        <is>
          <t>No plan</t>
        </is>
      </c>
    </row>
    <row r="11">
      <c r="A11" s="4" t="inlineStr">
        <is>
          <t>Average Order Value</t>
        </is>
      </c>
      <c r="B11" s="5" t="n">
        <v>45383</v>
      </c>
      <c r="C11" s="6" t="n">
        <v>63.21473980430734</v>
      </c>
      <c r="D11" s="6" t="n">
        <v>61.96773525141023</v>
      </c>
      <c r="E11" s="7" t="n">
        <v>0.02012344888574469</v>
      </c>
      <c r="F11" s="6" t="n">
        <v>63.12090198456072</v>
      </c>
      <c r="G11" s="7" t="n">
        <v>0.001486636229779625</v>
      </c>
      <c r="H11" s="6" t="n"/>
      <c r="I11" s="7" t="n"/>
      <c r="J11" s="4" t="inlineStr">
        <is>
          <t>No plan</t>
        </is>
      </c>
    </row>
    <row r="12">
      <c r="A12" s="4" t="inlineStr">
        <is>
          <t>Item Return Rate</t>
        </is>
      </c>
      <c r="B12" s="5" t="n">
        <v>45383</v>
      </c>
      <c r="C12" s="6" t="n">
        <v>0.1067164785186388</v>
      </c>
      <c r="D12" s="6" t="n">
        <v>0.09800796812749003</v>
      </c>
      <c r="E12" s="7" t="n">
        <v>0.0888551263487134</v>
      </c>
      <c r="F12" s="6" t="n">
        <v>0.09176632934682613</v>
      </c>
      <c r="G12" s="7" t="n">
        <v>0.1629154100226609</v>
      </c>
      <c r="H12" s="6" t="n"/>
      <c r="I12" s="7" t="n"/>
      <c r="J12" s="4" t="inlineStr">
        <is>
          <t>No plan</t>
        </is>
      </c>
    </row>
    <row r="13">
      <c r="A13" s="4" t="inlineStr">
        <is>
          <t>Item Cancellation Rate</t>
        </is>
      </c>
      <c r="B13" s="5" t="n">
        <v>45383</v>
      </c>
      <c r="C13" s="6" t="n">
        <v>0.1530902298383822</v>
      </c>
      <c r="D13" s="6" t="n">
        <v>0.1528884462151394</v>
      </c>
      <c r="E13" s="7" t="n">
        <v>0.00131980949664956</v>
      </c>
      <c r="F13" s="6" t="n">
        <v>0.1619135234590616</v>
      </c>
      <c r="G13" s="7" t="n">
        <v>-0.05449386457771899</v>
      </c>
      <c r="H13" s="6" t="n"/>
      <c r="I13" s="7" t="n"/>
      <c r="J13" s="4" t="inlineStr">
        <is>
          <t>No plan</t>
        </is>
      </c>
    </row>
    <row r="16">
      <c r="A16" s="8" t="inlineStr">
        <is>
          <t>Net sales and profit trend</t>
        </is>
      </c>
    </row>
    <row r="18">
      <c r="A18" s="3" t="inlineStr">
        <is>
          <t>Month</t>
        </is>
      </c>
      <c r="B18" s="3" t="inlineStr">
        <is>
          <t>Net sales</t>
        </is>
      </c>
      <c r="C18" s="3" t="inlineStr">
        <is>
          <t>Net profit</t>
        </is>
      </c>
    </row>
    <row r="19">
      <c r="A19" s="5" t="n">
        <v>44562</v>
      </c>
      <c r="B19" s="6" t="n">
        <v>113670.3201682568</v>
      </c>
      <c r="C19" s="6" t="n">
        <v>59302.69074627908</v>
      </c>
    </row>
    <row r="20">
      <c r="A20" s="5" t="n">
        <v>44593</v>
      </c>
      <c r="B20" s="6" t="n">
        <v>98015.39021205902</v>
      </c>
      <c r="C20" s="6" t="n">
        <v>51247.02068445227</v>
      </c>
    </row>
    <row r="21">
      <c r="A21" s="5" t="n">
        <v>44621</v>
      </c>
      <c r="B21" s="6" t="n">
        <v>119287.8302438259</v>
      </c>
      <c r="C21" s="6" t="n">
        <v>62178.49046103081</v>
      </c>
    </row>
    <row r="22">
      <c r="A22" s="5" t="n">
        <v>44652</v>
      </c>
      <c r="B22" s="6" t="n">
        <v>113637.6201777458</v>
      </c>
      <c r="C22" s="6" t="n">
        <v>59088.82569313944</v>
      </c>
    </row>
    <row r="23">
      <c r="A23" s="5" t="n">
        <v>44682</v>
      </c>
      <c r="B23" s="6" t="n">
        <v>119652.1701276302</v>
      </c>
      <c r="C23" s="6" t="n">
        <v>61661.01850596847</v>
      </c>
    </row>
    <row r="24">
      <c r="A24" s="5" t="n">
        <v>44713</v>
      </c>
      <c r="B24" s="6" t="n">
        <v>133353.570147872</v>
      </c>
      <c r="C24" s="6" t="n">
        <v>69600.58532452874</v>
      </c>
    </row>
    <row r="25">
      <c r="A25" s="5" t="n">
        <v>44743</v>
      </c>
      <c r="B25" s="6" t="n">
        <v>137325.9301383495</v>
      </c>
      <c r="C25" s="6" t="n">
        <v>71827.24508966849</v>
      </c>
    </row>
    <row r="26">
      <c r="A26" s="5" t="n">
        <v>44774</v>
      </c>
      <c r="B26" s="6" t="n">
        <v>142612.7901010513</v>
      </c>
      <c r="C26" s="6" t="n">
        <v>74545.26408850415</v>
      </c>
    </row>
    <row r="27">
      <c r="A27" s="5" t="n">
        <v>44805</v>
      </c>
      <c r="B27" s="6" t="n">
        <v>137519.5802562237</v>
      </c>
      <c r="C27" s="6" t="n">
        <v>71515.51779418097</v>
      </c>
    </row>
    <row r="28">
      <c r="A28" s="5" t="n">
        <v>44835</v>
      </c>
      <c r="B28" s="6" t="n">
        <v>152485.0301892757</v>
      </c>
      <c r="C28" s="6" t="n">
        <v>79389.95057552485</v>
      </c>
    </row>
    <row r="29">
      <c r="A29" s="5" t="n">
        <v>44866</v>
      </c>
      <c r="B29" s="6" t="n">
        <v>155504.0401403904</v>
      </c>
      <c r="C29" s="6" t="n">
        <v>80691.4385891612</v>
      </c>
    </row>
    <row r="30">
      <c r="A30" s="5" t="n">
        <v>44896</v>
      </c>
      <c r="B30" s="6" t="n">
        <v>160734.2702050395</v>
      </c>
      <c r="C30" s="6" t="n">
        <v>83145.35769094461</v>
      </c>
    </row>
    <row r="31">
      <c r="A31" s="5" t="n">
        <v>44927</v>
      </c>
      <c r="B31" s="6" t="n">
        <v>188680.1700992584</v>
      </c>
      <c r="C31" s="6" t="n">
        <v>98154.05619949571</v>
      </c>
    </row>
    <row r="32">
      <c r="A32" s="5" t="n">
        <v>44958</v>
      </c>
      <c r="B32" s="6" t="n">
        <v>167409.8501970768</v>
      </c>
      <c r="C32" s="6" t="n">
        <v>86970.89473192982</v>
      </c>
    </row>
    <row r="33">
      <c r="A33" s="5" t="n">
        <v>44986</v>
      </c>
      <c r="B33" s="6" t="n">
        <v>184777.9002124071</v>
      </c>
      <c r="C33" s="6" t="n">
        <v>95638.86576622212</v>
      </c>
    </row>
    <row r="34">
      <c r="A34" s="5" t="n">
        <v>45017</v>
      </c>
      <c r="B34" s="6" t="n">
        <v>193149.9600727558</v>
      </c>
      <c r="C34" s="6" t="n">
        <v>100114.8168756528</v>
      </c>
    </row>
    <row r="35">
      <c r="A35" s="5" t="n">
        <v>45047</v>
      </c>
      <c r="B35" s="6" t="n">
        <v>209624.3403081894</v>
      </c>
      <c r="C35" s="6" t="n">
        <v>108440.8426170812</v>
      </c>
    </row>
    <row r="36">
      <c r="A36" s="5" t="n">
        <v>45078</v>
      </c>
      <c r="B36" s="6" t="n">
        <v>205503.2402050495</v>
      </c>
      <c r="C36" s="6" t="n">
        <v>106415.8724870737</v>
      </c>
    </row>
    <row r="37">
      <c r="A37" s="5" t="n">
        <v>45108</v>
      </c>
      <c r="B37" s="6" t="n">
        <v>232777.6403400898</v>
      </c>
      <c r="C37" s="6" t="n">
        <v>121047.5581907817</v>
      </c>
    </row>
    <row r="38">
      <c r="A38" s="5" t="n">
        <v>45139</v>
      </c>
      <c r="B38" s="6" t="n">
        <v>246129.7701876163</v>
      </c>
      <c r="C38" s="6" t="n">
        <v>126847.267464951</v>
      </c>
    </row>
    <row r="39">
      <c r="A39" s="5" t="n">
        <v>45170</v>
      </c>
      <c r="B39" s="6" t="n">
        <v>261138.5203070641</v>
      </c>
      <c r="C39" s="6" t="n">
        <v>135291.1840183569</v>
      </c>
    </row>
    <row r="40">
      <c r="A40" s="5" t="n">
        <v>45200</v>
      </c>
      <c r="B40" s="6" t="n">
        <v>279981.6202816963</v>
      </c>
      <c r="C40" s="6" t="n">
        <v>145193.2215086326</v>
      </c>
    </row>
    <row r="41">
      <c r="A41" s="5" t="n">
        <v>45231</v>
      </c>
      <c r="B41" s="6" t="n">
        <v>298467.6802778244</v>
      </c>
      <c r="C41" s="6" t="n">
        <v>155330.0517919703</v>
      </c>
    </row>
    <row r="42">
      <c r="A42" s="5" t="n">
        <v>45261</v>
      </c>
      <c r="B42" s="6" t="n">
        <v>326301.6604547501</v>
      </c>
      <c r="C42" s="6" t="n">
        <v>168954.8918751289</v>
      </c>
    </row>
    <row r="43">
      <c r="A43" s="5" t="n">
        <v>45292</v>
      </c>
      <c r="B43" s="6" t="n">
        <v>348737.740298409</v>
      </c>
      <c r="C43" s="6" t="n">
        <v>180965.9201846954</v>
      </c>
    </row>
    <row r="44">
      <c r="A44" s="5" t="n">
        <v>45323</v>
      </c>
      <c r="B44" s="6" t="n">
        <v>381972.6002650447</v>
      </c>
      <c r="C44" s="6" t="n">
        <v>198563.6870039252</v>
      </c>
    </row>
    <row r="45">
      <c r="A45" s="5" t="n">
        <v>45352</v>
      </c>
      <c r="B45" s="6" t="n">
        <v>441334.2104605436</v>
      </c>
      <c r="C45" s="6" t="n">
        <v>229097.5400893397</v>
      </c>
    </row>
    <row r="46">
      <c r="A46" s="5" t="n">
        <v>45383</v>
      </c>
      <c r="B46" s="6" t="n">
        <v>550157.8805168867</v>
      </c>
      <c r="C46" s="6" t="n">
        <v>285251.2633104902</v>
      </c>
    </row>
  </sheetData>
  <conditionalFormatting sqref="J5:J13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</cols>
  <sheetData>
    <row r="1">
      <c r="A1" s="1" t="inlineStr">
        <is>
          <t>Plan versus Actual</t>
        </is>
      </c>
    </row>
    <row r="2">
      <c r="A2" s="2" t="inlineStr">
        <is>
          <t>Complete months inside the plan horizon only. Achievement below 1.00 means the market landed under its submitted target.</t>
        </is>
      </c>
    </row>
    <row r="4">
      <c r="A4" s="8" t="inlineStr">
        <is>
          <t>By region and plan year</t>
        </is>
      </c>
    </row>
    <row r="6">
      <c r="A6" s="3" t="inlineStr">
        <is>
          <t>Region</t>
        </is>
      </c>
      <c r="B6" s="3" t="inlineStr">
        <is>
          <t>Plan year</t>
        </is>
      </c>
      <c r="C6" s="3" t="inlineStr">
        <is>
          <t>Actual USD</t>
        </is>
      </c>
      <c r="D6" s="3" t="inlineStr">
        <is>
          <t>Plan USD</t>
        </is>
      </c>
      <c r="E6" s="3" t="inlineStr">
        <is>
          <t>Variance USD</t>
        </is>
      </c>
      <c r="F6" s="3" t="inlineStr">
        <is>
          <t>Achievement</t>
        </is>
      </c>
      <c r="G6" s="3" t="inlineStr">
        <is>
          <t>Months with no plan</t>
        </is>
      </c>
    </row>
    <row r="7">
      <c r="A7" s="4" t="inlineStr">
        <is>
          <t>AMER</t>
        </is>
      </c>
      <c r="B7" s="4" t="n">
        <v>2023</v>
      </c>
      <c r="C7" s="6" t="n">
        <v>1024573.540946126</v>
      </c>
      <c r="D7" s="6" t="n">
        <v>1046200</v>
      </c>
      <c r="E7" s="6" t="n">
        <v>-21626.45905387402</v>
      </c>
      <c r="F7" s="7" t="n">
        <v>0.9793285614090288</v>
      </c>
      <c r="G7" s="4" t="n">
        <v>3</v>
      </c>
    </row>
    <row r="8">
      <c r="A8" s="4" t="inlineStr">
        <is>
          <t>APAC</t>
        </is>
      </c>
      <c r="B8" s="4" t="n">
        <v>2023</v>
      </c>
      <c r="C8" s="6" t="n">
        <v>1226647.931361198</v>
      </c>
      <c r="D8" s="6" t="n">
        <v>1301700.0050985</v>
      </c>
      <c r="E8" s="6" t="n">
        <v>-75052.07373730163</v>
      </c>
      <c r="F8" s="7" t="n">
        <v>0.9423430333845452</v>
      </c>
      <c r="G8" s="4" t="n">
        <v>1</v>
      </c>
    </row>
    <row r="9">
      <c r="A9" s="4" t="inlineStr">
        <is>
          <t>EMEA</t>
        </is>
      </c>
      <c r="B9" s="4" t="n">
        <v>2023</v>
      </c>
      <c r="C9" s="6" t="n">
        <v>542720.8806364536</v>
      </c>
      <c r="D9" s="6" t="n">
        <v>512400.0138</v>
      </c>
      <c r="E9" s="6" t="n">
        <v>30320.86683645361</v>
      </c>
      <c r="F9" s="7" t="n">
        <v>1.059174211592212</v>
      </c>
      <c r="G9" s="4" t="n">
        <v>2</v>
      </c>
    </row>
    <row r="10">
      <c r="A10" s="4" t="inlineStr">
        <is>
          <t>AMER</t>
        </is>
      </c>
      <c r="B10" s="4" t="n">
        <v>2024</v>
      </c>
      <c r="C10" s="6" t="n">
        <v>636848.2108615823</v>
      </c>
      <c r="D10" s="6" t="n">
        <v>503600</v>
      </c>
      <c r="E10" s="6" t="n">
        <v>133248.2108615823</v>
      </c>
      <c r="F10" s="7" t="n">
        <v>1.264591363903063</v>
      </c>
      <c r="G10" s="4" t="n">
        <v>2</v>
      </c>
    </row>
    <row r="11">
      <c r="A11" s="4" t="inlineStr">
        <is>
          <t>APAC</t>
        </is>
      </c>
      <c r="B11" s="4" t="n">
        <v>2024</v>
      </c>
      <c r="C11" s="6" t="n">
        <v>755784.0504543968</v>
      </c>
      <c r="D11" s="6" t="n">
        <v>618599.9981709999</v>
      </c>
      <c r="E11" s="6" t="n">
        <v>137184.0522833968</v>
      </c>
      <c r="F11" s="7" t="n">
        <v>1.221765361605247</v>
      </c>
      <c r="G11" s="4" t="n">
        <v>1</v>
      </c>
    </row>
    <row r="12">
      <c r="A12" s="4" t="inlineStr">
        <is>
          <t>EMEA</t>
        </is>
      </c>
      <c r="B12" s="4" t="n">
        <v>2024</v>
      </c>
      <c r="C12" s="6" t="n">
        <v>329570.170224905</v>
      </c>
      <c r="D12" s="6" t="n">
        <v>234599.9852</v>
      </c>
      <c r="E12" s="6" t="n">
        <v>94970.18502490502</v>
      </c>
      <c r="F12" s="7" t="n">
        <v>1.404817523513233</v>
      </c>
      <c r="G12" s="4" t="n">
        <v>2</v>
      </c>
    </row>
    <row r="15">
      <c r="A15" s="8" t="inlineStr">
        <is>
          <t>By market, ranked by achievement</t>
        </is>
      </c>
    </row>
    <row r="17">
      <c r="A17" s="3" t="inlineStr">
        <is>
          <t>Country</t>
        </is>
      </c>
      <c r="B17" s="3" t="inlineStr">
        <is>
          <t>Region</t>
        </is>
      </c>
      <c r="C17" s="3" t="inlineStr">
        <is>
          <t>Actual USD</t>
        </is>
      </c>
      <c r="D17" s="3" t="inlineStr">
        <is>
          <t>Plan USD</t>
        </is>
      </c>
      <c r="E17" s="3" t="inlineStr">
        <is>
          <t>Variance USD</t>
        </is>
      </c>
      <c r="F17" s="3" t="inlineStr">
        <is>
          <t>Achievement</t>
        </is>
      </c>
    </row>
    <row r="18">
      <c r="A18" s="4" t="inlineStr">
        <is>
          <t>Poland</t>
        </is>
      </c>
      <c r="B18" s="4" t="inlineStr">
        <is>
          <t>EMEA</t>
        </is>
      </c>
      <c r="C18" s="6" t="n">
        <v>8357.099996566772</v>
      </c>
      <c r="D18" s="6" t="n">
        <v>11600</v>
      </c>
      <c r="E18" s="6" t="n">
        <v>-3242.900003433228</v>
      </c>
      <c r="F18" s="7" t="n">
        <v>0.7204396548764459</v>
      </c>
    </row>
    <row r="19">
      <c r="A19" s="4" t="inlineStr">
        <is>
          <t>Colombia</t>
        </is>
      </c>
      <c r="B19" s="4" t="inlineStr">
        <is>
          <t>AMER</t>
        </is>
      </c>
      <c r="C19" s="6" t="n">
        <v>85</v>
      </c>
      <c r="D19" s="6" t="n">
        <v>100</v>
      </c>
      <c r="E19" s="6" t="n">
        <v>-15</v>
      </c>
      <c r="F19" s="7" t="n">
        <v>0.85</v>
      </c>
    </row>
    <row r="20">
      <c r="A20" s="4" t="inlineStr">
        <is>
          <t>China</t>
        </is>
      </c>
      <c r="B20" s="4" t="inlineStr">
        <is>
          <t>APAC</t>
        </is>
      </c>
      <c r="C20" s="6" t="n">
        <v>1527852.1213906</v>
      </c>
      <c r="D20" s="6" t="n">
        <v>1506800.0024</v>
      </c>
      <c r="E20" s="6" t="n">
        <v>21052.11899059964</v>
      </c>
      <c r="F20" s="7" t="n">
        <v>1.013971408917619</v>
      </c>
    </row>
    <row r="21">
      <c r="A21" s="4" t="inlineStr">
        <is>
          <t>Japan</t>
        </is>
      </c>
      <c r="B21" s="4" t="inlineStr">
        <is>
          <t>APAC</t>
        </is>
      </c>
      <c r="C21" s="6" t="n">
        <v>102492.9501042366</v>
      </c>
      <c r="D21" s="6" t="n">
        <v>99200.000072</v>
      </c>
      <c r="E21" s="6" t="n">
        <v>3292.950032236608</v>
      </c>
      <c r="F21" s="7" t="n">
        <v>1.033195060784744</v>
      </c>
    </row>
    <row r="22">
      <c r="A22" s="4" t="inlineStr">
        <is>
          <t>South Korea</t>
        </is>
      </c>
      <c r="B22" s="4" t="inlineStr">
        <is>
          <t>APAC</t>
        </is>
      </c>
      <c r="C22" s="6" t="n">
        <v>244564.8002884388</v>
      </c>
      <c r="D22" s="6" t="n">
        <v>235899.9999975</v>
      </c>
      <c r="E22" s="6" t="n">
        <v>8664.800290938787</v>
      </c>
      <c r="F22" s="7" t="n">
        <v>1.036730819376984</v>
      </c>
    </row>
    <row r="23">
      <c r="A23" s="4" t="inlineStr">
        <is>
          <t>United States</t>
        </is>
      </c>
      <c r="B23" s="4" t="inlineStr">
        <is>
          <t>AMER</t>
        </is>
      </c>
      <c r="C23" s="6" t="n">
        <v>1012383.811293483</v>
      </c>
      <c r="D23" s="6" t="n">
        <v>961500</v>
      </c>
      <c r="E23" s="6" t="n">
        <v>50883.81129348278</v>
      </c>
      <c r="F23" s="7" t="n">
        <v>1.052921280596446</v>
      </c>
    </row>
    <row r="24">
      <c r="A24" s="4" t="inlineStr">
        <is>
          <t>Belgium</t>
        </is>
      </c>
      <c r="B24" s="4" t="inlineStr">
        <is>
          <t>EMEA</t>
        </is>
      </c>
      <c r="C24" s="6" t="n">
        <v>52944.30008101463</v>
      </c>
      <c r="D24" s="6" t="n">
        <v>50099.99040000001</v>
      </c>
      <c r="E24" s="6" t="n">
        <v>2844.309681014623</v>
      </c>
      <c r="F24" s="7" t="n">
        <v>1.056772659202239</v>
      </c>
    </row>
    <row r="25">
      <c r="A25" s="4" t="inlineStr">
        <is>
          <t>Brazil</t>
        </is>
      </c>
      <c r="B25" s="4" t="inlineStr">
        <is>
          <t>AMER</t>
        </is>
      </c>
      <c r="C25" s="6" t="n">
        <v>648033.9105142541</v>
      </c>
      <c r="D25" s="6" t="n">
        <v>588200</v>
      </c>
      <c r="E25" s="6" t="n">
        <v>59833.91051425412</v>
      </c>
      <c r="F25" s="7" t="n">
        <v>1.10172375129931</v>
      </c>
    </row>
    <row r="26">
      <c r="A26" s="4" t="inlineStr">
        <is>
          <t>Australia</t>
        </is>
      </c>
      <c r="B26" s="4" t="inlineStr">
        <is>
          <t>APAC</t>
        </is>
      </c>
      <c r="C26" s="6" t="n">
        <v>88594.12004566193</v>
      </c>
      <c r="D26" s="6" t="n">
        <v>78400.00080000001</v>
      </c>
      <c r="E26" s="6" t="n">
        <v>10194.11924566192</v>
      </c>
      <c r="F26" s="7" t="n">
        <v>1.130027029867861</v>
      </c>
    </row>
    <row r="27">
      <c r="A27" s="4" t="inlineStr">
        <is>
          <t>Germany</t>
        </is>
      </c>
      <c r="B27" s="4" t="inlineStr">
        <is>
          <t>EMEA</t>
        </is>
      </c>
      <c r="C27" s="6" t="n">
        <v>197974.220126152</v>
      </c>
      <c r="D27" s="6" t="n">
        <v>174300.0012</v>
      </c>
      <c r="E27" s="6" t="n">
        <v>23674.21892615204</v>
      </c>
      <c r="F27" s="7" t="n">
        <v>1.135824548268288</v>
      </c>
    </row>
    <row r="28">
      <c r="A28" s="4" t="inlineStr">
        <is>
          <t>France</t>
        </is>
      </c>
      <c r="B28" s="4" t="inlineStr">
        <is>
          <t>EMEA</t>
        </is>
      </c>
      <c r="C28" s="6" t="n">
        <v>203834.4301991463</v>
      </c>
      <c r="D28" s="6" t="n">
        <v>176200.002</v>
      </c>
      <c r="E28" s="6" t="n">
        <v>27634.42819914623</v>
      </c>
      <c r="F28" s="7" t="n">
        <v>1.156835572562288</v>
      </c>
    </row>
    <row r="29">
      <c r="A29" s="4" t="inlineStr">
        <is>
          <t>United Kingdom</t>
        </is>
      </c>
      <c r="B29" s="4" t="inlineStr">
        <is>
          <t>EMEA</t>
        </is>
      </c>
      <c r="C29" s="6" t="n">
        <v>211134.1303238869</v>
      </c>
      <c r="D29" s="6" t="n">
        <v>180400.0086</v>
      </c>
      <c r="E29" s="6" t="n">
        <v>30734.1217238869</v>
      </c>
      <c r="F29" s="7" t="n">
        <v>1.170366520281235</v>
      </c>
    </row>
    <row r="30">
      <c r="A30" s="4" t="inlineStr">
        <is>
          <t>Spain</t>
        </is>
      </c>
      <c r="B30" s="4" t="inlineStr">
        <is>
          <t>EMEA</t>
        </is>
      </c>
      <c r="C30" s="6" t="n">
        <v>180922.29012537</v>
      </c>
      <c r="D30" s="6" t="n">
        <v>154399.9968000001</v>
      </c>
      <c r="E30" s="6" t="n">
        <v>26522.29332536997</v>
      </c>
      <c r="F30" s="7" t="n">
        <v>1.171776514734811</v>
      </c>
    </row>
  </sheetData>
  <conditionalFormatting sqref="F18:F31">
    <cfRule type="cellIs" priority="1" operator="lessThan" dxfId="2">
      <formula>0.95</formula>
    </cfRule>
    <cfRule type="cellIs" priority="2" operator="greaterThanOrEqual" dxfId="0">
      <formula>1.0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32" customWidth="1" min="3" max="3"/>
    <col width="14" customWidth="1" min="4" max="4"/>
    <col width="16" customWidth="1" min="5" max="5"/>
    <col width="21" customWidth="1" min="6" max="6"/>
    <col width="21" customWidth="1" min="7" max="7"/>
    <col width="21" customWidth="1" min="8" max="8"/>
    <col width="21" customWidth="1" min="9" max="9"/>
    <col width="22" customWidth="1" min="10" max="10"/>
    <col width="22" customWidth="1" min="11" max="11"/>
  </cols>
  <sheetData>
    <row r="1">
      <c r="A1" s="1" t="inlineStr">
        <is>
          <t>Price-Volume-Mix bridge</t>
        </is>
      </c>
    </row>
    <row r="2">
      <c r="A2" s="2" t="inlineStr">
        <is>
          <t>Volume + Mix + Price sums exactly to Total variance. Volume is growth at prior mix and prior price; Mix is the shift between categories at prior price; Price is the ASP movement at current volume.</t>
        </is>
      </c>
    </row>
    <row r="4">
      <c r="A4" s="8" t="inlineStr">
        <is>
          <t>Bridge totals</t>
        </is>
      </c>
    </row>
    <row r="6">
      <c r="A6" s="3" t="inlineStr">
        <is>
          <t>Comparison</t>
        </is>
      </c>
      <c r="B6" s="3" t="inlineStr">
        <is>
          <t>Prior revenue</t>
        </is>
      </c>
      <c r="C6" s="3" t="inlineStr">
        <is>
          <t>Current revenue</t>
        </is>
      </c>
      <c r="D6" s="3" t="inlineStr">
        <is>
          <t>Total variance</t>
        </is>
      </c>
      <c r="E6" s="3" t="inlineStr">
        <is>
          <t>Volume effect</t>
        </is>
      </c>
      <c r="F6" s="3" t="inlineStr">
        <is>
          <t>Mix effect</t>
        </is>
      </c>
      <c r="G6" s="3" t="inlineStr">
        <is>
          <t>Price effect</t>
        </is>
      </c>
      <c r="H6" s="3" t="inlineStr">
        <is>
          <t>Prior units</t>
        </is>
      </c>
      <c r="I6" s="3" t="inlineStr">
        <is>
          <t>Current units</t>
        </is>
      </c>
    </row>
    <row r="7">
      <c r="A7" s="4" t="inlineStr">
        <is>
          <t>CY2023 vs CY2022</t>
        </is>
      </c>
      <c r="B7" s="6" t="n">
        <v>1583798.54210772</v>
      </c>
      <c r="C7" s="6" t="n">
        <v>2793942.352943778</v>
      </c>
      <c r="D7" s="6" t="n">
        <v>1210143.810836058</v>
      </c>
      <c r="E7" s="6" t="n">
        <v>1229589.999413865</v>
      </c>
      <c r="F7" s="6" t="n">
        <v>-9498.544987725169</v>
      </c>
      <c r="G7" s="6" t="n">
        <v>-9947.643590081652</v>
      </c>
      <c r="H7" s="6" t="n">
        <v>26475</v>
      </c>
      <c r="I7" s="6" t="n">
        <v>47029</v>
      </c>
    </row>
    <row r="8">
      <c r="A8" s="4" t="inlineStr">
        <is>
          <t>YTD Jan-Apr 2024 vs 2023</t>
        </is>
      </c>
      <c r="B8" s="6" t="n">
        <v>734017.8805814981</v>
      </c>
      <c r="C8" s="6" t="n">
        <v>1722202.431540884</v>
      </c>
      <c r="D8" s="6" t="n">
        <v>988184.5509593859</v>
      </c>
      <c r="E8" s="6" t="n">
        <v>972254.8903691934</v>
      </c>
      <c r="F8" s="6" t="n">
        <v>-6177.302875188502</v>
      </c>
      <c r="G8" s="6" t="n">
        <v>22106.96346538112</v>
      </c>
      <c r="H8" s="6" t="n">
        <v>12318</v>
      </c>
      <c r="I8" s="6" t="n">
        <v>28634</v>
      </c>
    </row>
    <row r="9">
      <c r="A9" s="4" t="inlineStr">
        <is>
          <t>Apr 2024 vs Apr 2023</t>
        </is>
      </c>
      <c r="B9" s="6" t="n">
        <v>193149.9600727558</v>
      </c>
      <c r="C9" s="6" t="n">
        <v>550157.8805168867</v>
      </c>
      <c r="D9" s="6" t="n">
        <v>357007.9204441309</v>
      </c>
      <c r="E9" s="6" t="n">
        <v>349336.553364254</v>
      </c>
      <c r="F9" s="6" t="n">
        <v>-5772.704715869091</v>
      </c>
      <c r="G9" s="6" t="n">
        <v>13444.07179574611</v>
      </c>
      <c r="H9" s="6" t="n">
        <v>3245</v>
      </c>
      <c r="I9" s="6" t="n">
        <v>9114</v>
      </c>
    </row>
    <row r="30">
      <c r="A30" s="8" t="inlineStr">
        <is>
          <t>YTD Jan-Apr 2024 vs 2023, by category</t>
        </is>
      </c>
    </row>
    <row r="32">
      <c r="A32" s="3" t="inlineStr">
        <is>
          <t>Comparison</t>
        </is>
      </c>
      <c r="B32" s="3" t="inlineStr">
        <is>
          <t>Department</t>
        </is>
      </c>
      <c r="C32" s="3" t="inlineStr">
        <is>
          <t>Category</t>
        </is>
      </c>
      <c r="D32" s="3" t="inlineStr">
        <is>
          <t>Prior units</t>
        </is>
      </c>
      <c r="E32" s="3" t="inlineStr">
        <is>
          <t>Current units</t>
        </is>
      </c>
      <c r="F32" s="3" t="inlineStr">
        <is>
          <t>Prior ASP</t>
        </is>
      </c>
      <c r="G32" s="3" t="inlineStr">
        <is>
          <t>Current ASP</t>
        </is>
      </c>
      <c r="H32" s="3" t="inlineStr">
        <is>
          <t>Total variance</t>
        </is>
      </c>
      <c r="I32" s="3" t="inlineStr">
        <is>
          <t>Volume</t>
        </is>
      </c>
      <c r="J32" s="3" t="inlineStr">
        <is>
          <t>Mix</t>
        </is>
      </c>
      <c r="K32" s="3" t="inlineStr">
        <is>
          <t>Price</t>
        </is>
      </c>
    </row>
    <row r="33">
      <c r="A33" s="4" t="inlineStr">
        <is>
          <t>YTD Jan-Apr 2024 vs 2023</t>
        </is>
      </c>
      <c r="B33" s="4" t="inlineStr">
        <is>
          <t>Men</t>
        </is>
      </c>
      <c r="C33" s="4" t="inlineStr">
        <is>
          <t>Outerwear &amp; Coats</t>
        </is>
      </c>
      <c r="D33" s="6" t="n">
        <v>381</v>
      </c>
      <c r="E33" s="6" t="n">
        <v>900</v>
      </c>
      <c r="F33" s="9" t="n">
        <v>156.3578473689362</v>
      </c>
      <c r="G33" s="9" t="n">
        <v>157.0920887396071</v>
      </c>
      <c r="H33" s="6" t="n">
        <v>81810.54001808167</v>
      </c>
      <c r="I33" s="6" t="n">
        <v>78907.47661575463</v>
      </c>
      <c r="J33" s="6" t="n">
        <v>2242.246168723249</v>
      </c>
      <c r="K33" s="6" t="n">
        <v>660.8172336037853</v>
      </c>
    </row>
    <row r="34">
      <c r="A34" s="4" t="inlineStr">
        <is>
          <t>YTD Jan-Apr 2024 vs 2023</t>
        </is>
      </c>
      <c r="B34" s="4" t="inlineStr">
        <is>
          <t>Men</t>
        </is>
      </c>
      <c r="C34" s="4" t="inlineStr">
        <is>
          <t>Jeans</t>
        </is>
      </c>
      <c r="D34" s="6" t="n">
        <v>535</v>
      </c>
      <c r="E34" s="6" t="n">
        <v>1253</v>
      </c>
      <c r="F34" s="9" t="n">
        <v>97.93358880871924</v>
      </c>
      <c r="G34" s="9" t="n">
        <v>100.2311572830675</v>
      </c>
      <c r="H34" s="6" t="n">
        <v>73195.1700630188</v>
      </c>
      <c r="I34" s="6" t="n">
        <v>69399.91660388364</v>
      </c>
      <c r="J34" s="6" t="n">
        <v>916.4001607767543</v>
      </c>
      <c r="K34" s="6" t="n">
        <v>2878.853298358397</v>
      </c>
    </row>
    <row r="35">
      <c r="A35" s="4" t="inlineStr">
        <is>
          <t>YTD Jan-Apr 2024 vs 2023</t>
        </is>
      </c>
      <c r="B35" s="4" t="inlineStr">
        <is>
          <t>Men</t>
        </is>
      </c>
      <c r="C35" s="4" t="inlineStr">
        <is>
          <t>Suits &amp; Sport Coats</t>
        </is>
      </c>
      <c r="D35" s="6" t="n">
        <v>323</v>
      </c>
      <c r="E35" s="6" t="n">
        <v>858</v>
      </c>
      <c r="F35" s="9" t="n">
        <v>119.6930028602435</v>
      </c>
      <c r="G35" s="9" t="n">
        <v>125.3363401083957</v>
      </c>
      <c r="H35" s="6" t="n">
        <v>68877.7398891449</v>
      </c>
      <c r="I35" s="6" t="n">
        <v>51208.82157798974</v>
      </c>
      <c r="J35" s="6" t="n">
        <v>12826.93495224053</v>
      </c>
      <c r="K35" s="6" t="n">
        <v>4841.98335891463</v>
      </c>
    </row>
    <row r="36">
      <c r="A36" s="4" t="inlineStr">
        <is>
          <t>YTD Jan-Apr 2024 vs 2023</t>
        </is>
      </c>
      <c r="B36" s="4" t="inlineStr">
        <is>
          <t>Men</t>
        </is>
      </c>
      <c r="C36" s="4" t="inlineStr">
        <is>
          <t>Sweaters</t>
        </is>
      </c>
      <c r="D36" s="6" t="n">
        <v>504</v>
      </c>
      <c r="E36" s="6" t="n">
        <v>1110</v>
      </c>
      <c r="F36" s="9" t="n">
        <v>78.1967857640887</v>
      </c>
      <c r="G36" s="9" t="n">
        <v>77.73230633778616</v>
      </c>
      <c r="H36" s="6" t="n">
        <v>46871.68000984192</v>
      </c>
      <c r="I36" s="6" t="n">
        <v>52202.69632160604</v>
      </c>
      <c r="J36" s="6" t="n">
        <v>-4815.444148568285</v>
      </c>
      <c r="K36" s="6" t="n">
        <v>-515.5721631958261</v>
      </c>
    </row>
    <row r="37">
      <c r="A37" s="4" t="inlineStr">
        <is>
          <t>YTD Jan-Apr 2024 vs 2023</t>
        </is>
      </c>
      <c r="B37" s="4" t="inlineStr">
        <is>
          <t>Women</t>
        </is>
      </c>
      <c r="C37" s="4" t="inlineStr">
        <is>
          <t>Intimates</t>
        </is>
      </c>
      <c r="D37" s="6" t="n">
        <v>885</v>
      </c>
      <c r="E37" s="6" t="n">
        <v>2158</v>
      </c>
      <c r="F37" s="9" t="n">
        <v>33.4069831004924</v>
      </c>
      <c r="G37" s="9" t="n">
        <v>34.41667753883376</v>
      </c>
      <c r="H37" s="6" t="n">
        <v>44706.01008486748</v>
      </c>
      <c r="I37" s="6" t="n">
        <v>39161.02269823479</v>
      </c>
      <c r="J37" s="6" t="n">
        <v>3366.066788692042</v>
      </c>
      <c r="K37" s="6" t="n">
        <v>2178.920597940646</v>
      </c>
    </row>
    <row r="38">
      <c r="A38" s="4" t="inlineStr">
        <is>
          <t>YTD Jan-Apr 2024 vs 2023</t>
        </is>
      </c>
      <c r="B38" s="4" t="inlineStr">
        <is>
          <t>Women</t>
        </is>
      </c>
      <c r="C38" s="4" t="inlineStr">
        <is>
          <t>Dresses</t>
        </is>
      </c>
      <c r="D38" s="6" t="n">
        <v>384</v>
      </c>
      <c r="E38" s="6" t="n">
        <v>875</v>
      </c>
      <c r="F38" s="9" t="n">
        <v>76.39450551569462</v>
      </c>
      <c r="G38" s="9" t="n">
        <v>84.57318873814174</v>
      </c>
      <c r="H38" s="6" t="n">
        <v>44666.05002784729</v>
      </c>
      <c r="I38" s="6" t="n">
        <v>38856.78330619615</v>
      </c>
      <c r="J38" s="6" t="n">
        <v>-1347.081097990095</v>
      </c>
      <c r="K38" s="6" t="n">
        <v>7156.34781964123</v>
      </c>
    </row>
    <row r="39">
      <c r="A39" s="4" t="inlineStr">
        <is>
          <t>YTD Jan-Apr 2024 vs 2023</t>
        </is>
      </c>
      <c r="B39" s="4" t="inlineStr">
        <is>
          <t>Men</t>
        </is>
      </c>
      <c r="C39" s="4" t="inlineStr">
        <is>
          <t>Pants</t>
        </is>
      </c>
      <c r="D39" s="6" t="n">
        <v>492</v>
      </c>
      <c r="E39" s="6" t="n">
        <v>1135</v>
      </c>
      <c r="F39" s="9" t="n">
        <v>60.08941079155216</v>
      </c>
      <c r="G39" s="9" t="n">
        <v>60.94229092198847</v>
      </c>
      <c r="H39" s="6" t="n">
        <v>39605.51008701324</v>
      </c>
      <c r="I39" s="6" t="n">
        <v>39159.44655184956</v>
      </c>
      <c r="J39" s="6" t="n">
        <v>-521.9554128815188</v>
      </c>
      <c r="K39" s="6" t="n">
        <v>968.0189480452053</v>
      </c>
    </row>
    <row r="40">
      <c r="A40" s="4" t="inlineStr">
        <is>
          <t>YTD Jan-Apr 2024 vs 2023</t>
        </is>
      </c>
      <c r="B40" s="4" t="inlineStr">
        <is>
          <t>Women</t>
        </is>
      </c>
      <c r="C40" s="4" t="inlineStr">
        <is>
          <t>Outerwear &amp; Coats</t>
        </is>
      </c>
      <c r="D40" s="6" t="n">
        <v>223</v>
      </c>
      <c r="E40" s="6" t="n">
        <v>491</v>
      </c>
      <c r="F40" s="9" t="n">
        <v>142.4173988804154</v>
      </c>
      <c r="G40" s="9" t="n">
        <v>142.3310996170199</v>
      </c>
      <c r="H40" s="6" t="n">
        <v>38125.48996162415</v>
      </c>
      <c r="I40" s="6" t="n">
        <v>42066.9872113677</v>
      </c>
      <c r="J40" s="6" t="n">
        <v>-3899.124311416378</v>
      </c>
      <c r="K40" s="6" t="n">
        <v>-42.37293832718504</v>
      </c>
    </row>
    <row r="41">
      <c r="A41" s="4" t="inlineStr">
        <is>
          <t>YTD Jan-Apr 2024 vs 2023</t>
        </is>
      </c>
      <c r="B41" s="4" t="inlineStr">
        <is>
          <t>Women</t>
        </is>
      </c>
      <c r="C41" s="4" t="inlineStr">
        <is>
          <t>Jeans</t>
        </is>
      </c>
      <c r="D41" s="6" t="n">
        <v>380</v>
      </c>
      <c r="E41" s="6" t="n">
        <v>775</v>
      </c>
      <c r="F41" s="9" t="n">
        <v>92.04794755734895</v>
      </c>
      <c r="G41" s="9" t="n">
        <v>93.05695509141491</v>
      </c>
      <c r="H41" s="6" t="n">
        <v>37140.92012405396</v>
      </c>
      <c r="I41" s="6" t="n">
        <v>46330.94972328041</v>
      </c>
      <c r="J41" s="6" t="n">
        <v>-9972.010438127572</v>
      </c>
      <c r="K41" s="6" t="n">
        <v>781.9808389011175</v>
      </c>
    </row>
    <row r="42">
      <c r="A42" s="4" t="inlineStr">
        <is>
          <t>YTD Jan-Apr 2024 vs 2023</t>
        </is>
      </c>
      <c r="B42" s="4" t="inlineStr">
        <is>
          <t>Men</t>
        </is>
      </c>
      <c r="C42" s="4" t="inlineStr">
        <is>
          <t>Sleep &amp; Lounge</t>
        </is>
      </c>
      <c r="D42" s="6" t="n">
        <v>441</v>
      </c>
      <c r="E42" s="6" t="n">
        <v>1086</v>
      </c>
      <c r="F42" s="9" t="n">
        <v>51.91637199644058</v>
      </c>
      <c r="G42" s="9" t="n">
        <v>51.63129845069478</v>
      </c>
      <c r="H42" s="6" t="n">
        <v>33176.47006702423</v>
      </c>
      <c r="I42" s="6" t="n">
        <v>30326.09017233485</v>
      </c>
      <c r="J42" s="6" t="n">
        <v>3159.969765369322</v>
      </c>
      <c r="K42" s="6" t="n">
        <v>-309.589870679942</v>
      </c>
    </row>
    <row r="43">
      <c r="A43" s="4" t="inlineStr">
        <is>
          <t>YTD Jan-Apr 2024 vs 2023</t>
        </is>
      </c>
      <c r="B43" s="4" t="inlineStr">
        <is>
          <t>Men</t>
        </is>
      </c>
      <c r="C43" s="4" t="inlineStr">
        <is>
          <t>Fashion Hoodies &amp; Sweatshirts</t>
        </is>
      </c>
      <c r="D43" s="6" t="n">
        <v>503</v>
      </c>
      <c r="E43" s="6" t="n">
        <v>1048</v>
      </c>
      <c r="F43" s="9" t="n">
        <v>58.97230611122389</v>
      </c>
      <c r="G43" s="9" t="n">
        <v>57.93681304509403</v>
      </c>
      <c r="H43" s="6" t="n">
        <v>31054.71009731293</v>
      </c>
      <c r="I43" s="6" t="n">
        <v>39290.68433957596</v>
      </c>
      <c r="J43" s="6" t="n">
        <v>-7150.77750895894</v>
      </c>
      <c r="K43" s="6" t="n">
        <v>-1085.196733304093</v>
      </c>
    </row>
    <row r="44">
      <c r="A44" s="4" t="inlineStr">
        <is>
          <t>YTD Jan-Apr 2024 vs 2023</t>
        </is>
      </c>
      <c r="B44" s="4" t="inlineStr">
        <is>
          <t>Women</t>
        </is>
      </c>
      <c r="C44" s="4" t="inlineStr">
        <is>
          <t>Sweaters</t>
        </is>
      </c>
      <c r="D44" s="6" t="n">
        <v>255</v>
      </c>
      <c r="E44" s="6" t="n">
        <v>629</v>
      </c>
      <c r="F44" s="9" t="n">
        <v>72.99827453388887</v>
      </c>
      <c r="G44" s="9" t="n">
        <v>77.89092214005171</v>
      </c>
      <c r="H44" s="6" t="n">
        <v>30378.83001995087</v>
      </c>
      <c r="I44" s="6" t="n">
        <v>24656.20726255945</v>
      </c>
      <c r="J44" s="6" t="n">
        <v>2645.147413114983</v>
      </c>
      <c r="K44" s="6" t="n">
        <v>3077.475344276426</v>
      </c>
    </row>
    <row r="45">
      <c r="A45" s="4" t="inlineStr">
        <is>
          <t>YTD Jan-Apr 2024 vs 2023</t>
        </is>
      </c>
      <c r="B45" s="4" t="inlineStr">
        <is>
          <t>Women</t>
        </is>
      </c>
      <c r="C45" s="4" t="inlineStr">
        <is>
          <t>Swim</t>
        </is>
      </c>
      <c r="D45" s="6" t="n">
        <v>342</v>
      </c>
      <c r="E45" s="6" t="n">
        <v>771</v>
      </c>
      <c r="F45" s="9" t="n">
        <v>66.53885972987838</v>
      </c>
      <c r="G45" s="9" t="n">
        <v>67.64560312921745</v>
      </c>
      <c r="H45" s="6" t="n">
        <v>29398.46998500824</v>
      </c>
      <c r="I45" s="6" t="n">
        <v>30142.20068928575</v>
      </c>
      <c r="J45" s="6" t="n">
        <v>-1597.029865167929</v>
      </c>
      <c r="K45" s="6" t="n">
        <v>853.2991608904202</v>
      </c>
    </row>
    <row r="46">
      <c r="A46" s="4" t="inlineStr">
        <is>
          <t>YTD Jan-Apr 2024 vs 2023</t>
        </is>
      </c>
      <c r="B46" s="4" t="inlineStr">
        <is>
          <t>Men</t>
        </is>
      </c>
      <c r="C46" s="4" t="inlineStr">
        <is>
          <t>Tops &amp; Tees</t>
        </is>
      </c>
      <c r="D46" s="6" t="n">
        <v>522</v>
      </c>
      <c r="E46" s="6" t="n">
        <v>1179</v>
      </c>
      <c r="F46" s="9" t="n">
        <v>41.52852502819222</v>
      </c>
      <c r="G46" s="9" t="n">
        <v>41.85459724900276</v>
      </c>
      <c r="H46" s="6" t="n">
        <v>27668.68009185791</v>
      </c>
      <c r="I46" s="6" t="n">
        <v>28713.78911316056</v>
      </c>
      <c r="J46" s="6" t="n">
        <v>-1429.548169638266</v>
      </c>
      <c r="K46" s="6" t="n">
        <v>384.4391483356241</v>
      </c>
    </row>
    <row r="47">
      <c r="A47" s="4" t="inlineStr">
        <is>
          <t>YTD Jan-Apr 2024 vs 2023</t>
        </is>
      </c>
      <c r="B47" s="4" t="inlineStr">
        <is>
          <t>Men</t>
        </is>
      </c>
      <c r="C47" s="4" t="inlineStr">
        <is>
          <t>Shorts</t>
        </is>
      </c>
      <c r="D47" s="6" t="n">
        <v>468</v>
      </c>
      <c r="E47" s="6" t="n">
        <v>1064</v>
      </c>
      <c r="F47" s="9" t="n">
        <v>53.76053429872562</v>
      </c>
      <c r="G47" s="9" t="n">
        <v>48.96289486858181</v>
      </c>
      <c r="H47" s="6" t="n">
        <v>26936.59008836746</v>
      </c>
      <c r="I47" s="6" t="n">
        <v>33325.9797633729</v>
      </c>
      <c r="J47" s="6" t="n">
        <v>-1284.701321332426</v>
      </c>
      <c r="K47" s="6" t="n">
        <v>-5104.688353673007</v>
      </c>
    </row>
    <row r="48">
      <c r="A48" s="4" t="inlineStr">
        <is>
          <t>YTD Jan-Apr 2024 vs 2023</t>
        </is>
      </c>
      <c r="B48" s="4" t="inlineStr">
        <is>
          <t>Men</t>
        </is>
      </c>
      <c r="C48" s="4" t="inlineStr">
        <is>
          <t>Swim</t>
        </is>
      </c>
      <c r="D48" s="6" t="n">
        <v>428</v>
      </c>
      <c r="E48" s="6" t="n">
        <v>977</v>
      </c>
      <c r="F48" s="9" t="n">
        <v>52.13771039303218</v>
      </c>
      <c r="G48" s="9" t="n">
        <v>49.77135116124226</v>
      </c>
      <c r="H48" s="6" t="n">
        <v>26311.67003631592</v>
      </c>
      <c r="I48" s="6" t="n">
        <v>29557.60365535973</v>
      </c>
      <c r="J48" s="6" t="n">
        <v>-934.0006495850697</v>
      </c>
      <c r="K48" s="6" t="n">
        <v>-2311.932969458746</v>
      </c>
    </row>
    <row r="49">
      <c r="A49" s="4" t="inlineStr">
        <is>
          <t>YTD Jan-Apr 2024 vs 2023</t>
        </is>
      </c>
      <c r="B49" s="4" t="inlineStr">
        <is>
          <t>Women</t>
        </is>
      </c>
      <c r="C49" s="4" t="inlineStr">
        <is>
          <t>Sleep &amp; Lounge</t>
        </is>
      </c>
      <c r="D49" s="6" t="n">
        <v>289</v>
      </c>
      <c r="E49" s="6" t="n">
        <v>798</v>
      </c>
      <c r="F49" s="9" t="n">
        <v>51.09653995276322</v>
      </c>
      <c r="G49" s="9" t="n">
        <v>51.34758146902672</v>
      </c>
      <c r="H49" s="6" t="n">
        <v>26208.46996593475</v>
      </c>
      <c r="I49" s="6" t="n">
        <v>19559.72894595091</v>
      </c>
      <c r="J49" s="6" t="n">
        <v>6448.409890005573</v>
      </c>
      <c r="K49" s="6" t="n">
        <v>200.3311299782718</v>
      </c>
    </row>
    <row r="50">
      <c r="A50" s="4" t="inlineStr">
        <is>
          <t>YTD Jan-Apr 2024 vs 2023</t>
        </is>
      </c>
      <c r="B50" s="4" t="inlineStr">
        <is>
          <t>Women</t>
        </is>
      </c>
      <c r="C50" s="4" t="inlineStr">
        <is>
          <t>Blazers &amp; Jackets</t>
        </is>
      </c>
      <c r="D50" s="6" t="n">
        <v>233</v>
      </c>
      <c r="E50" s="6" t="n">
        <v>470</v>
      </c>
      <c r="F50" s="9" t="n">
        <v>86.81055832318482</v>
      </c>
      <c r="G50" s="9" t="n">
        <v>96.76938322655698</v>
      </c>
      <c r="H50" s="6" t="n">
        <v>25254.75002717972</v>
      </c>
      <c r="I50" s="6" t="n">
        <v>26791.80461252253</v>
      </c>
      <c r="J50" s="6" t="n">
        <v>-6217.702289927721</v>
      </c>
      <c r="K50" s="6" t="n">
        <v>4680.647704584916</v>
      </c>
    </row>
    <row r="51">
      <c r="A51" s="4" t="inlineStr">
        <is>
          <t>YTD Jan-Apr 2024 vs 2023</t>
        </is>
      </c>
      <c r="B51" s="4" t="inlineStr">
        <is>
          <t>Men</t>
        </is>
      </c>
      <c r="C51" s="4" t="inlineStr">
        <is>
          <t>Active</t>
        </is>
      </c>
      <c r="D51" s="6" t="n">
        <v>363</v>
      </c>
      <c r="E51" s="6" t="n">
        <v>814</v>
      </c>
      <c r="F51" s="9" t="n">
        <v>45.60258957571234</v>
      </c>
      <c r="G51" s="9" t="n">
        <v>49.63281325216082</v>
      </c>
      <c r="H51" s="6" t="n">
        <v>23847.36997127533</v>
      </c>
      <c r="I51" s="6" t="n">
        <v>21926.51583867415</v>
      </c>
      <c r="J51" s="6" t="n">
        <v>-1359.747940027877</v>
      </c>
      <c r="K51" s="6" t="n">
        <v>3280.602072629062</v>
      </c>
    </row>
    <row r="52">
      <c r="A52" s="4" t="inlineStr">
        <is>
          <t>YTD Jan-Apr 2024 vs 2023</t>
        </is>
      </c>
      <c r="B52" s="4" t="inlineStr">
        <is>
          <t>Women</t>
        </is>
      </c>
      <c r="C52" s="4" t="inlineStr">
        <is>
          <t>Fashion Hoodies &amp; Sweatshirts</t>
        </is>
      </c>
      <c r="D52" s="6" t="n">
        <v>358</v>
      </c>
      <c r="E52" s="6" t="n">
        <v>811</v>
      </c>
      <c r="F52" s="9" t="n">
        <v>48.92173190889412</v>
      </c>
      <c r="G52" s="9" t="n">
        <v>50.93738600240535</v>
      </c>
      <c r="H52" s="6" t="n">
        <v>23796.24002456665</v>
      </c>
      <c r="I52" s="6" t="n">
        <v>23198.41679343521</v>
      </c>
      <c r="J52" s="6" t="n">
        <v>-1036.872238706171</v>
      </c>
      <c r="K52" s="6" t="n">
        <v>1634.695469837614</v>
      </c>
    </row>
    <row r="53">
      <c r="A53" s="4" t="inlineStr">
        <is>
          <t>YTD Jan-Apr 2024 vs 2023</t>
        </is>
      </c>
      <c r="B53" s="4" t="inlineStr">
        <is>
          <t>Women</t>
        </is>
      </c>
      <c r="C53" s="4" t="inlineStr">
        <is>
          <t>Maternity</t>
        </is>
      </c>
      <c r="D53" s="6" t="n">
        <v>363</v>
      </c>
      <c r="E53" s="6" t="n">
        <v>792</v>
      </c>
      <c r="F53" s="9" t="n">
        <v>51.55537178628044</v>
      </c>
      <c r="G53" s="9" t="n">
        <v>50.49698225958178</v>
      </c>
      <c r="H53" s="6" t="n">
        <v>21279.00999116898</v>
      </c>
      <c r="I53" s="6" t="n">
        <v>24788.71674960038</v>
      </c>
      <c r="J53" s="6" t="n">
        <v>-2671.462253286067</v>
      </c>
      <c r="K53" s="6" t="n">
        <v>-838.2445051453344</v>
      </c>
    </row>
    <row r="54">
      <c r="A54" s="4" t="inlineStr">
        <is>
          <t>YTD Jan-Apr 2024 vs 2023</t>
        </is>
      </c>
      <c r="B54" s="4" t="inlineStr">
        <is>
          <t>Women</t>
        </is>
      </c>
      <c r="C54" s="4" t="inlineStr">
        <is>
          <t>Pants &amp; Capris</t>
        </is>
      </c>
      <c r="D54" s="6" t="n">
        <v>210</v>
      </c>
      <c r="E54" s="6" t="n">
        <v>561</v>
      </c>
      <c r="F54" s="9" t="n">
        <v>48.22609543573289</v>
      </c>
      <c r="G54" s="9" t="n">
        <v>54.42196105848234</v>
      </c>
      <c r="H54" s="6" t="n">
        <v>20403.24011230469</v>
      </c>
      <c r="I54" s="6" t="n">
        <v>13414.51244984395</v>
      </c>
      <c r="J54" s="6" t="n">
        <v>3512.847048098298</v>
      </c>
      <c r="K54" s="6" t="n">
        <v>3475.880614362442</v>
      </c>
    </row>
    <row r="55">
      <c r="A55" s="4" t="inlineStr">
        <is>
          <t>YTD Jan-Apr 2024 vs 2023</t>
        </is>
      </c>
      <c r="B55" s="4" t="inlineStr">
        <is>
          <t>Men</t>
        </is>
      </c>
      <c r="C55" s="4" t="inlineStr">
        <is>
          <t>Underwear</t>
        </is>
      </c>
      <c r="D55" s="6" t="n">
        <v>491</v>
      </c>
      <c r="E55" s="6" t="n">
        <v>1159</v>
      </c>
      <c r="F55" s="9" t="n">
        <v>27.37301428594803</v>
      </c>
      <c r="G55" s="9" t="n">
        <v>27.17396897092989</v>
      </c>
      <c r="H55" s="6" t="n">
        <v>18054.48002290726</v>
      </c>
      <c r="I55" s="6" t="n">
        <v>17802.36139267399</v>
      </c>
      <c r="J55" s="6" t="n">
        <v>482.8121503392864</v>
      </c>
      <c r="K55" s="6" t="n">
        <v>-230.6935201060237</v>
      </c>
    </row>
    <row r="56">
      <c r="A56" s="4" t="inlineStr">
        <is>
          <t>YTD Jan-Apr 2024 vs 2023</t>
        </is>
      </c>
      <c r="B56" s="4" t="inlineStr">
        <is>
          <t>Women</t>
        </is>
      </c>
      <c r="C56" s="4" t="inlineStr">
        <is>
          <t>Accessories</t>
        </is>
      </c>
      <c r="D56" s="6" t="n">
        <v>289</v>
      </c>
      <c r="E56" s="6" t="n">
        <v>685</v>
      </c>
      <c r="F56" s="9" t="n">
        <v>45.238373689173</v>
      </c>
      <c r="G56" s="9" t="n">
        <v>45.17637951327284</v>
      </c>
      <c r="H56" s="6" t="n">
        <v>17871.9299704209</v>
      </c>
      <c r="I56" s="6" t="n">
        <v>17317.22594394593</v>
      </c>
      <c r="J56" s="6" t="n">
        <v>597.1700369665756</v>
      </c>
      <c r="K56" s="6" t="n">
        <v>-42.46601049160997</v>
      </c>
    </row>
    <row r="57">
      <c r="A57" s="4" t="inlineStr">
        <is>
          <t>YTD Jan-Apr 2024 vs 2023</t>
        </is>
      </c>
      <c r="B57" s="4" t="inlineStr">
        <is>
          <t>Women</t>
        </is>
      </c>
      <c r="C57" s="4" t="inlineStr">
        <is>
          <t>Plus</t>
        </is>
      </c>
      <c r="D57" s="6" t="n">
        <v>252</v>
      </c>
      <c r="E57" s="6" t="n">
        <v>696</v>
      </c>
      <c r="F57" s="9" t="n">
        <v>37.63726199430133</v>
      </c>
      <c r="G57" s="9" t="n">
        <v>39.14397998017141</v>
      </c>
      <c r="H57" s="6" t="n">
        <v>17759.62004363537</v>
      </c>
      <c r="I57" s="6" t="n">
        <v>12562.96239715483</v>
      </c>
      <c r="J57" s="6" t="n">
        <v>4147.981928314962</v>
      </c>
      <c r="K57" s="6" t="n">
        <v>1048.675718165578</v>
      </c>
    </row>
    <row r="58">
      <c r="A58" s="4" t="inlineStr">
        <is>
          <t>YTD Jan-Apr 2024 vs 2023</t>
        </is>
      </c>
      <c r="B58" s="4" t="inlineStr">
        <is>
          <t>Women</t>
        </is>
      </c>
      <c r="C58" s="4" t="inlineStr">
        <is>
          <t>Shorts</t>
        </is>
      </c>
      <c r="D58" s="6" t="n">
        <v>327</v>
      </c>
      <c r="E58" s="6" t="n">
        <v>735</v>
      </c>
      <c r="F58" s="9" t="n">
        <v>42.30926612101564</v>
      </c>
      <c r="G58" s="9" t="n">
        <v>41.64972795629177</v>
      </c>
      <c r="H58" s="6" t="n">
        <v>16777.42002630234</v>
      </c>
      <c r="I58" s="6" t="n">
        <v>18325.53835297699</v>
      </c>
      <c r="J58" s="6" t="n">
        <v>-1063.357775602611</v>
      </c>
      <c r="K58" s="6" t="n">
        <v>-484.7605510720442</v>
      </c>
    </row>
    <row r="59">
      <c r="A59" s="4" t="inlineStr">
        <is>
          <t>YTD Jan-Apr 2024 vs 2023</t>
        </is>
      </c>
      <c r="B59" s="4" t="inlineStr">
        <is>
          <t>Women</t>
        </is>
      </c>
      <c r="C59" s="4" t="inlineStr">
        <is>
          <t>Tops &amp; Tees</t>
        </is>
      </c>
      <c r="D59" s="6" t="n">
        <v>267</v>
      </c>
      <c r="E59" s="6" t="n">
        <v>642</v>
      </c>
      <c r="F59" s="9" t="n">
        <v>40.55535591407661</v>
      </c>
      <c r="G59" s="9" t="n">
        <v>39.66381633430255</v>
      </c>
      <c r="H59" s="6" t="n">
        <v>14635.89005756378</v>
      </c>
      <c r="I59" s="6" t="n">
        <v>14342.76805927243</v>
      </c>
      <c r="J59" s="6" t="n">
        <v>865.4904085063009</v>
      </c>
      <c r="K59" s="6" t="n">
        <v>-572.3684102149475</v>
      </c>
    </row>
    <row r="60">
      <c r="A60" s="4" t="inlineStr">
        <is>
          <t>YTD Jan-Apr 2024 vs 2023</t>
        </is>
      </c>
      <c r="B60" s="4" t="inlineStr">
        <is>
          <t>Men</t>
        </is>
      </c>
      <c r="C60" s="4" t="inlineStr">
        <is>
          <t>Accessories</t>
        </is>
      </c>
      <c r="D60" s="6" t="n">
        <v>407</v>
      </c>
      <c r="E60" s="6" t="n">
        <v>837</v>
      </c>
      <c r="F60" s="9" t="n">
        <v>43.47975425521044</v>
      </c>
      <c r="G60" s="9" t="n">
        <v>37.93924738429353</v>
      </c>
      <c r="H60" s="6" t="n">
        <v>14058.89007878304</v>
      </c>
      <c r="I60" s="6" t="n">
        <v>23439.85856991407</v>
      </c>
      <c r="J60" s="6" t="n">
        <v>-4743.564240173576</v>
      </c>
      <c r="K60" s="6" t="n">
        <v>-4637.404250957457</v>
      </c>
    </row>
    <row r="61">
      <c r="A61" s="4" t="inlineStr">
        <is>
          <t>YTD Jan-Apr 2024 vs 2023</t>
        </is>
      </c>
      <c r="B61" s="4" t="inlineStr">
        <is>
          <t>Women</t>
        </is>
      </c>
      <c r="C61" s="4" t="inlineStr">
        <is>
          <t>Active</t>
        </is>
      </c>
      <c r="D61" s="6" t="n">
        <v>278</v>
      </c>
      <c r="E61" s="6" t="n">
        <v>572</v>
      </c>
      <c r="F61" s="9" t="n">
        <v>50.98208634030047</v>
      </c>
      <c r="G61" s="9" t="n">
        <v>49.26791962418523</v>
      </c>
      <c r="H61" s="6" t="n">
        <v>14008.23002243042</v>
      </c>
      <c r="I61" s="6" t="n">
        <v>18773.09582419867</v>
      </c>
      <c r="J61" s="6" t="n">
        <v>-3784.36244015033</v>
      </c>
      <c r="K61" s="6" t="n">
        <v>-980.5033616179196</v>
      </c>
    </row>
    <row r="62">
      <c r="A62" s="4" t="inlineStr">
        <is>
          <t>YTD Jan-Apr 2024 vs 2023</t>
        </is>
      </c>
      <c r="B62" s="4" t="inlineStr">
        <is>
          <t>Men</t>
        </is>
      </c>
      <c r="C62" s="4" t="inlineStr">
        <is>
          <t>Socks</t>
        </is>
      </c>
      <c r="D62" s="6" t="n">
        <v>387</v>
      </c>
      <c r="E62" s="6" t="n">
        <v>993</v>
      </c>
      <c r="F62" s="9" t="n">
        <v>20.3151679815248</v>
      </c>
      <c r="G62" s="9" t="n">
        <v>20.47723061224485</v>
      </c>
      <c r="H62" s="6" t="n">
        <v>12471.91998910904</v>
      </c>
      <c r="I62" s="6" t="n">
        <v>10413.69562139943</v>
      </c>
      <c r="J62" s="6" t="n">
        <v>1897.296175404598</v>
      </c>
      <c r="K62" s="6" t="n">
        <v>160.9281923050106</v>
      </c>
    </row>
    <row r="63">
      <c r="A63" s="4" t="inlineStr">
        <is>
          <t>YTD Jan-Apr 2024 vs 2023</t>
        </is>
      </c>
      <c r="B63" s="4" t="inlineStr">
        <is>
          <t>Women</t>
        </is>
      </c>
      <c r="C63" s="4" t="inlineStr">
        <is>
          <t>Suits</t>
        </is>
      </c>
      <c r="D63" s="6" t="n">
        <v>60</v>
      </c>
      <c r="E63" s="6" t="n">
        <v>167</v>
      </c>
      <c r="F63" s="9" t="n">
        <v>116.2156668663025</v>
      </c>
      <c r="G63" s="9" t="n">
        <v>116.2483235319218</v>
      </c>
      <c r="H63" s="6" t="n">
        <v>12440.53001785278</v>
      </c>
      <c r="I63" s="6" t="n">
        <v>9236.117002389632</v>
      </c>
      <c r="J63" s="6" t="n">
        <v>3198.959352304733</v>
      </c>
      <c r="K63" s="6" t="n">
        <v>5.453663158418266</v>
      </c>
    </row>
    <row r="64">
      <c r="A64" s="4" t="inlineStr">
        <is>
          <t>YTD Jan-Apr 2024 vs 2023</t>
        </is>
      </c>
      <c r="B64" s="4" t="inlineStr">
        <is>
          <t>Women</t>
        </is>
      </c>
      <c r="C64" s="4" t="inlineStr">
        <is>
          <t>Skirts</t>
        </is>
      </c>
      <c r="D64" s="6" t="n">
        <v>116</v>
      </c>
      <c r="E64" s="6" t="n">
        <v>341</v>
      </c>
      <c r="F64" s="9" t="n">
        <v>47.60560347293985</v>
      </c>
      <c r="G64" s="9" t="n">
        <v>51.09067451359589</v>
      </c>
      <c r="H64" s="6" t="n">
        <v>11899.67000627518</v>
      </c>
      <c r="I64" s="6" t="n">
        <v>7314.582809439881</v>
      </c>
      <c r="J64" s="6" t="n">
        <v>3396.677971971587</v>
      </c>
      <c r="K64" s="6" t="n">
        <v>1188.409224863709</v>
      </c>
    </row>
    <row r="65">
      <c r="A65" s="4" t="inlineStr">
        <is>
          <t>YTD Jan-Apr 2024 vs 2023</t>
        </is>
      </c>
      <c r="B65" s="4" t="inlineStr">
        <is>
          <t>Women</t>
        </is>
      </c>
      <c r="C65" s="4" t="inlineStr">
        <is>
          <t>Leggings</t>
        </is>
      </c>
      <c r="D65" s="6" t="n">
        <v>204</v>
      </c>
      <c r="E65" s="6" t="n">
        <v>490</v>
      </c>
      <c r="F65" s="9" t="n">
        <v>27.30279405911763</v>
      </c>
      <c r="G65" s="9" t="n">
        <v>27.42055097794046</v>
      </c>
      <c r="H65" s="6" t="n">
        <v>7866.299991130829</v>
      </c>
      <c r="I65" s="6" t="n">
        <v>7377.526150770167</v>
      </c>
      <c r="J65" s="6" t="n">
        <v>431.0729501374768</v>
      </c>
      <c r="K65" s="6" t="n">
        <v>57.70089022318551</v>
      </c>
    </row>
    <row r="66">
      <c r="A66" s="4" t="inlineStr">
        <is>
          <t>YTD Jan-Apr 2024 vs 2023</t>
        </is>
      </c>
      <c r="B66" s="4" t="inlineStr">
        <is>
          <t>Women</t>
        </is>
      </c>
      <c r="C66" s="4" t="inlineStr">
        <is>
          <t>Socks &amp; Hosiery</t>
        </is>
      </c>
      <c r="D66" s="6" t="n">
        <v>270</v>
      </c>
      <c r="E66" s="6" t="n">
        <v>580</v>
      </c>
      <c r="F66" s="9" t="n">
        <v>16.03207405408223</v>
      </c>
      <c r="G66" s="9" t="n">
        <v>16.46994823546245</v>
      </c>
      <c r="H66" s="6" t="n">
        <v>5223.909981966019</v>
      </c>
      <c r="I66" s="6" t="n">
        <v>5733.594452989896</v>
      </c>
      <c r="J66" s="6" t="n">
        <v>-763.6514962244045</v>
      </c>
      <c r="K66" s="6" t="n">
        <v>253.9670252005276</v>
      </c>
    </row>
    <row r="67">
      <c r="A67" s="4" t="inlineStr">
        <is>
          <t>YTD Jan-Apr 2024 vs 2023</t>
        </is>
      </c>
      <c r="B67" s="4" t="inlineStr">
        <is>
          <t>Women</t>
        </is>
      </c>
      <c r="C67" s="4" t="inlineStr">
        <is>
          <t>Jumpsuits &amp; Rompers</t>
        </is>
      </c>
      <c r="D67" s="6" t="n">
        <v>70</v>
      </c>
      <c r="E67" s="6" t="n">
        <v>151</v>
      </c>
      <c r="F67" s="9" t="n">
        <v>42.51114298956735</v>
      </c>
      <c r="G67" s="9" t="n">
        <v>42.92933777941774</v>
      </c>
      <c r="H67" s="6" t="n">
        <v>3506.549995422363</v>
      </c>
      <c r="I67" s="6" t="n">
        <v>3941.616060338095</v>
      </c>
      <c r="J67" s="6" t="n">
        <v>-498.2134781831402</v>
      </c>
      <c r="K67" s="6" t="n">
        <v>63.14741326740878</v>
      </c>
    </row>
    <row r="68">
      <c r="A68" s="4" t="inlineStr">
        <is>
          <t>YTD Jan-Apr 2024 vs 2023</t>
        </is>
      </c>
      <c r="B68" s="4" t="inlineStr">
        <is>
          <t>Women</t>
        </is>
      </c>
      <c r="C68" s="4" t="inlineStr">
        <is>
          <t>Clothing Sets</t>
        </is>
      </c>
      <c r="D68" s="6" t="n">
        <v>18</v>
      </c>
      <c r="E68" s="6" t="n">
        <v>31</v>
      </c>
      <c r="F68" s="9" t="n">
        <v>112.7244442833795</v>
      </c>
      <c r="G68" s="9" t="n">
        <v>94.34322609439972</v>
      </c>
      <c r="H68" s="6" t="n">
        <v>895.6000118255615</v>
      </c>
      <c r="I68" s="6" t="n">
        <v>2687.596735890334</v>
      </c>
      <c r="J68" s="6" t="n">
        <v>-1222.178960206401</v>
      </c>
      <c r="K68" s="6" t="n">
        <v>-569.8177638583717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1" customWidth="1" min="3" max="3"/>
    <col width="21" customWidth="1" min="4" max="4"/>
    <col width="22" customWidth="1" min="5" max="5"/>
    <col width="23" customWidth="1" min="6" max="6"/>
    <col width="12" customWidth="1" min="7" max="7"/>
    <col width="12" customWidth="1" min="8" max="8"/>
  </cols>
  <sheetData>
    <row r="1">
      <c r="A1" s="1" t="inlineStr">
        <is>
          <t>Forecast to year end</t>
        </is>
      </c>
    </row>
    <row r="2">
      <c r="A2" s="2" t="inlineStr">
        <is>
          <t>Model chosen by rolling-origin backtest across all 8 steps of the forecast horizon - not by in-sample fit and not at one month ahead. 24 origins x 8 steps = 192 folds. Two limitations to read with the numbers: TheLook is synthetic, so its growth curve is smoother than real demand and this MAPE is optimistic; and the plan it is compared against is constructed by src/build_plan_source.py, not supplied. The full audit is in docs/forecast_review.md.</t>
        </is>
      </c>
    </row>
    <row r="4">
      <c r="A4" s="8" t="inlineStr">
        <is>
          <t>Model comparison - rolling-origin backtest across the horizon</t>
        </is>
      </c>
    </row>
    <row r="6">
      <c r="A6" s="3" t="inlineStr">
        <is>
          <t>Model</t>
        </is>
      </c>
      <c r="B6" s="3" t="inlineStr">
        <is>
          <t>MAPE across horizon</t>
        </is>
      </c>
      <c r="C6" s="3" t="inlineStr">
        <is>
          <t>MAPE 1 month out</t>
        </is>
      </c>
      <c r="D6" s="3" t="inlineStr">
        <is>
          <t>MAPE 8 months out</t>
        </is>
      </c>
      <c r="E6" s="3" t="inlineStr">
        <is>
          <t>Worst fold</t>
        </is>
      </c>
      <c r="F6" s="3" t="inlineStr">
        <is>
          <t>Mean bias</t>
        </is>
      </c>
      <c r="G6" s="3" t="inlineStr">
        <is>
          <t>Origins</t>
        </is>
      </c>
      <c r="H6" s="3" t="inlineStr">
        <is>
          <t>Folds</t>
        </is>
      </c>
    </row>
    <row r="7">
      <c r="A7" s="4" t="inlineStr">
        <is>
          <t>seasonal_naive_drift</t>
        </is>
      </c>
      <c r="B7" s="7" t="n">
        <v>0.0800244783988406</v>
      </c>
      <c r="C7" s="7" t="n">
        <v>0.06457007576607551</v>
      </c>
      <c r="D7" s="7" t="n">
        <v>0.1152942122551401</v>
      </c>
      <c r="E7" s="7" t="n">
        <v>0.3940832558878212</v>
      </c>
      <c r="F7" s="7" t="n">
        <v>-0.007107227671329379</v>
      </c>
      <c r="G7" s="4" t="n">
        <v>24</v>
      </c>
      <c r="H7" s="4" t="n">
        <v>192</v>
      </c>
    </row>
    <row r="8">
      <c r="A8" s="4" t="inlineStr">
        <is>
          <t>holt_winters_log</t>
        </is>
      </c>
      <c r="B8" s="7" t="n">
        <v>0.2597518908710457</v>
      </c>
      <c r="C8" s="7" t="n">
        <v>0.08260110172495301</v>
      </c>
      <c r="D8" s="7" t="n">
        <v>0.4351275923003601</v>
      </c>
      <c r="E8" s="7" t="n">
        <v>1.630642718037487</v>
      </c>
      <c r="F8" s="7" t="n">
        <v>0.08254531307004832</v>
      </c>
      <c r="G8" s="4" t="n">
        <v>24</v>
      </c>
      <c r="H8" s="4" t="n">
        <v>192</v>
      </c>
    </row>
    <row r="9">
      <c r="A9" s="4" t="inlineStr">
        <is>
          <t>seasonal_naive</t>
        </is>
      </c>
      <c r="B9" s="7" t="n">
        <v>0.4241804456200648</v>
      </c>
      <c r="C9" s="7" t="n">
        <v>0.416599024216911</v>
      </c>
      <c r="D9" s="7" t="n">
        <v>0.4420800234001899</v>
      </c>
      <c r="E9" s="7" t="n">
        <v>0.6489190341301906</v>
      </c>
      <c r="F9" s="7" t="n">
        <v>-0.4241804456200647</v>
      </c>
      <c r="G9" s="4" t="n">
        <v>24</v>
      </c>
      <c r="H9" s="4" t="n">
        <v>192</v>
      </c>
    </row>
    <row r="12">
      <c r="A12" s="8" t="inlineStr">
        <is>
          <t>Scenarios over the remaining plan horizon</t>
        </is>
      </c>
    </row>
    <row r="14">
      <c r="A14" s="3" t="inlineStr">
        <is>
          <t>Scenario</t>
        </is>
      </c>
      <c r="B14" s="3" t="inlineStr">
        <is>
          <t>Net sales</t>
        </is>
      </c>
      <c r="C14" s="3" t="inlineStr">
        <is>
          <t>Net profit</t>
        </is>
      </c>
      <c r="D14" s="3" t="inlineStr">
        <is>
          <t>Assumed margin</t>
        </is>
      </c>
      <c r="E14" s="3" t="inlineStr">
        <is>
          <t>Volume multiplier</t>
        </is>
      </c>
      <c r="F14" s="3" t="inlineStr">
        <is>
          <t>Assumption</t>
        </is>
      </c>
    </row>
    <row r="15">
      <c r="A15" s="4" t="inlineStr">
        <is>
          <t>Upside</t>
        </is>
      </c>
      <c r="B15" s="6" t="n">
        <v>5664792.29899627</v>
      </c>
      <c r="C15" s="6" t="n">
        <v>2965461.130487371</v>
      </c>
      <c r="D15" s="7" t="n">
        <v>0.5234898252161537</v>
      </c>
      <c r="E15" s="10" t="n">
        <v>1.1</v>
      </c>
      <c r="F15" s="4" t="inlineStr">
        <is>
          <t>Peak-season sell-through runs 10% ahead with a modest mix benefit.</t>
        </is>
      </c>
    </row>
    <row r="16">
      <c r="A16" s="4" t="inlineStr">
        <is>
          <t>Base</t>
        </is>
      </c>
      <c r="B16" s="6" t="n">
        <v>5149811.1809057</v>
      </c>
      <c r="C16" s="6" t="n">
        <v>2670124.69908399</v>
      </c>
      <c r="D16" s="7" t="n">
        <v>0.5184898252161537</v>
      </c>
      <c r="E16" s="10" t="n">
        <v>1</v>
      </c>
      <c r="F16" s="4" t="inlineStr">
        <is>
          <t>Current trend continues; no change to pricing or promotion intensity.</t>
        </is>
      </c>
    </row>
    <row r="17">
      <c r="A17" s="4" t="inlineStr">
        <is>
          <t>Downside</t>
        </is>
      </c>
      <c r="B17" s="6" t="n">
        <v>4634830.06281513</v>
      </c>
      <c r="C17" s="6" t="n">
        <v>2310415.627919289</v>
      </c>
      <c r="D17" s="7" t="n">
        <v>0.4984898252161537</v>
      </c>
      <c r="E17" s="10" t="n">
        <v>0.9</v>
      </c>
      <c r="F17" s="4" t="inlineStr">
        <is>
          <t>Demand softens 10% and clearing aged stock costs 2 points of margin.</t>
        </is>
      </c>
    </row>
    <row r="20">
      <c r="A20" s="8" t="inlineStr">
        <is>
          <t>Month by month: actual where known, forecast beyond</t>
        </is>
      </c>
    </row>
    <row r="22">
      <c r="A22" s="3" t="inlineStr">
        <is>
          <t>Month</t>
        </is>
      </c>
      <c r="B22" s="3" t="inlineStr">
        <is>
          <t>Basis</t>
        </is>
      </c>
      <c r="C22" s="3" t="inlineStr">
        <is>
          <t>Expected net sales</t>
        </is>
      </c>
      <c r="D22" s="3" t="inlineStr">
        <is>
          <t>Plan</t>
        </is>
      </c>
      <c r="E22" s="3" t="inlineStr">
        <is>
          <t>Gap to plan</t>
        </is>
      </c>
      <c r="F22" s="3" t="inlineStr">
        <is>
          <t>Expected achievement</t>
        </is>
      </c>
    </row>
    <row r="23">
      <c r="A23" s="5" t="n">
        <v>44927</v>
      </c>
      <c r="B23" s="4" t="inlineStr">
        <is>
          <t>Actual</t>
        </is>
      </c>
      <c r="C23" s="6" t="n">
        <v>188680.1700992584</v>
      </c>
      <c r="D23" s="6" t="n">
        <v>203999.9976155</v>
      </c>
      <c r="E23" s="6" t="n">
        <v>-15319.82751624161</v>
      </c>
      <c r="F23" s="7" t="n">
        <v>0.9249028054151428</v>
      </c>
    </row>
    <row r="24">
      <c r="A24" s="5" t="n">
        <v>44958</v>
      </c>
      <c r="B24" s="4" t="inlineStr">
        <is>
          <t>Actual</t>
        </is>
      </c>
      <c r="C24" s="6" t="n">
        <v>167409.8501970768</v>
      </c>
      <c r="D24" s="6" t="n">
        <v>176999.998793</v>
      </c>
      <c r="E24" s="6" t="n">
        <v>-9590.14859592318</v>
      </c>
      <c r="F24" s="7" t="n">
        <v>0.9458183691450824</v>
      </c>
    </row>
    <row r="25">
      <c r="A25" s="5" t="n">
        <v>44986</v>
      </c>
      <c r="B25" s="4" t="inlineStr">
        <is>
          <t>Actual</t>
        </is>
      </c>
      <c r="C25" s="6" t="n">
        <v>184777.9002124071</v>
      </c>
      <c r="D25" s="6" t="n">
        <v>214899.999226</v>
      </c>
      <c r="E25" s="6" t="n">
        <v>-30122.0990135929</v>
      </c>
      <c r="F25" s="7" t="n">
        <v>0.8598320189758822</v>
      </c>
    </row>
    <row r="26">
      <c r="A26" s="5" t="n">
        <v>45017</v>
      </c>
      <c r="B26" s="4" t="inlineStr">
        <is>
          <t>Actual</t>
        </is>
      </c>
      <c r="C26" s="6" t="n">
        <v>193149.9600727558</v>
      </c>
      <c r="D26" s="6" t="n">
        <v>204899.9942285</v>
      </c>
      <c r="E26" s="6" t="n">
        <v>-11750.03415574419</v>
      </c>
      <c r="F26" s="7" t="n">
        <v>0.9426547853259537</v>
      </c>
    </row>
    <row r="27">
      <c r="A27" s="5" t="n">
        <v>45047</v>
      </c>
      <c r="B27" s="4" t="inlineStr">
        <is>
          <t>Actual</t>
        </is>
      </c>
      <c r="C27" s="6" t="n">
        <v>209624.3403081894</v>
      </c>
      <c r="D27" s="6" t="n">
        <v>212400.0083705</v>
      </c>
      <c r="E27" s="6" t="n">
        <v>-2775.668062310637</v>
      </c>
      <c r="F27" s="7" t="n">
        <v>0.98693188346081</v>
      </c>
    </row>
    <row r="28">
      <c r="A28" s="5" t="n">
        <v>45078</v>
      </c>
      <c r="B28" s="4" t="inlineStr">
        <is>
          <t>Actual</t>
        </is>
      </c>
      <c r="C28" s="6" t="n">
        <v>205503.2402050495</v>
      </c>
      <c r="D28" s="6" t="n">
        <v>239999.999226</v>
      </c>
      <c r="E28" s="6" t="n">
        <v>-34496.7590209505</v>
      </c>
      <c r="F28" s="7" t="n">
        <v>0.8562635036158227</v>
      </c>
    </row>
    <row r="29">
      <c r="A29" s="5" t="n">
        <v>45108</v>
      </c>
      <c r="B29" s="4" t="inlineStr">
        <is>
          <t>Actual</t>
        </is>
      </c>
      <c r="C29" s="6" t="n">
        <v>232777.6403400898</v>
      </c>
      <c r="D29" s="6" t="n">
        <v>248500.007215</v>
      </c>
      <c r="E29" s="6" t="n">
        <v>-15722.36687491019</v>
      </c>
      <c r="F29" s="7" t="n">
        <v>0.9367309198453772</v>
      </c>
    </row>
    <row r="30">
      <c r="A30" s="5" t="n">
        <v>45139</v>
      </c>
      <c r="B30" s="4" t="inlineStr">
        <is>
          <t>Actual</t>
        </is>
      </c>
      <c r="C30" s="6" t="n">
        <v>246129.7701876163</v>
      </c>
      <c r="D30" s="6" t="n">
        <v>245299.997809</v>
      </c>
      <c r="E30" s="6" t="n">
        <v>829.772378616326</v>
      </c>
      <c r="F30" s="7" t="n">
        <v>1.003382684003375</v>
      </c>
    </row>
    <row r="31">
      <c r="A31" s="5" t="n">
        <v>45170</v>
      </c>
      <c r="B31" s="4" t="inlineStr">
        <is>
          <t>Actual</t>
        </is>
      </c>
      <c r="C31" s="6" t="n">
        <v>261138.5203070641</v>
      </c>
      <c r="D31" s="6" t="n">
        <v>248499.9984135001</v>
      </c>
      <c r="E31" s="6" t="n">
        <v>12638.521893564</v>
      </c>
      <c r="F31" s="7" t="n">
        <v>1.050859243357152</v>
      </c>
    </row>
    <row r="32">
      <c r="A32" s="5" t="n">
        <v>45200</v>
      </c>
      <c r="B32" s="4" t="inlineStr">
        <is>
          <t>Actual</t>
        </is>
      </c>
      <c r="C32" s="6" t="n">
        <v>279981.6202816963</v>
      </c>
      <c r="D32" s="6" t="n">
        <v>275900.0041885</v>
      </c>
      <c r="E32" s="6" t="n">
        <v>4081.616093196324</v>
      </c>
      <c r="F32" s="7" t="n">
        <v>1.014793823962423</v>
      </c>
    </row>
    <row r="33">
      <c r="A33" s="5" t="n">
        <v>45231</v>
      </c>
      <c r="B33" s="4" t="inlineStr">
        <is>
          <t>Actual</t>
        </is>
      </c>
      <c r="C33" s="6" t="n">
        <v>298467.6802778244</v>
      </c>
      <c r="D33" s="6" t="n">
        <v>287400.0206025001</v>
      </c>
      <c r="E33" s="6" t="n">
        <v>11067.65967532434</v>
      </c>
      <c r="F33" s="7" t="n">
        <v>1.038509599450001</v>
      </c>
    </row>
    <row r="34">
      <c r="A34" s="5" t="n">
        <v>45261</v>
      </c>
      <c r="B34" s="4" t="inlineStr">
        <is>
          <t>Actual</t>
        </is>
      </c>
      <c r="C34" s="6" t="n">
        <v>326301.6604547501</v>
      </c>
      <c r="D34" s="6" t="n">
        <v>301899.9932105</v>
      </c>
      <c r="E34" s="6" t="n">
        <v>24401.66724425001</v>
      </c>
      <c r="F34" s="7" t="n">
        <v>1.080826988383653</v>
      </c>
    </row>
    <row r="35">
      <c r="A35" s="5" t="n">
        <v>45292</v>
      </c>
      <c r="B35" s="4" t="inlineStr">
        <is>
          <t>Actual</t>
        </is>
      </c>
      <c r="C35" s="6" t="n">
        <v>348737.740298409</v>
      </c>
      <c r="D35" s="6" t="n">
        <v>350599.994399</v>
      </c>
      <c r="E35" s="6" t="n">
        <v>-1862.254100591002</v>
      </c>
      <c r="F35" s="7" t="n">
        <v>0.9946883795483703</v>
      </c>
    </row>
    <row r="36">
      <c r="A36" s="5" t="n">
        <v>45323</v>
      </c>
      <c r="B36" s="4" t="inlineStr">
        <is>
          <t>Actual</t>
        </is>
      </c>
      <c r="C36" s="6" t="n">
        <v>381972.6002650447</v>
      </c>
      <c r="D36" s="6" t="n">
        <v>303100.0016055</v>
      </c>
      <c r="E36" s="6" t="n">
        <v>78872.59865954472</v>
      </c>
      <c r="F36" s="7" t="n">
        <v>1.260219723661372</v>
      </c>
    </row>
    <row r="37">
      <c r="A37" s="5" t="n">
        <v>45352</v>
      </c>
      <c r="B37" s="4" t="inlineStr">
        <is>
          <t>Actual</t>
        </is>
      </c>
      <c r="C37" s="6" t="n">
        <v>441334.2104605436</v>
      </c>
      <c r="D37" s="6" t="n">
        <v>343300.0041845</v>
      </c>
      <c r="E37" s="6" t="n">
        <v>98034.20627604361</v>
      </c>
      <c r="F37" s="7" t="n">
        <v>1.285564244337606</v>
      </c>
    </row>
    <row r="38">
      <c r="A38" s="5" t="n">
        <v>45383</v>
      </c>
      <c r="B38" s="4" t="inlineStr">
        <is>
          <t>Actual</t>
        </is>
      </c>
      <c r="C38" s="6" t="n">
        <v>550157.8805168867</v>
      </c>
      <c r="D38" s="6" t="n">
        <v>359799.983182</v>
      </c>
      <c r="E38" s="6" t="n">
        <v>190357.8973348867</v>
      </c>
      <c r="F38" s="7" t="n">
        <v>1.529065887250464</v>
      </c>
    </row>
    <row r="39">
      <c r="A39" s="5" t="n">
        <v>45413</v>
      </c>
      <c r="B39" s="4" t="inlineStr">
        <is>
          <t>Forecast</t>
        </is>
      </c>
      <c r="C39" s="6" t="n">
        <v>524060.8507704735</v>
      </c>
      <c r="D39" s="6" t="n">
        <v>388400.0087705</v>
      </c>
      <c r="E39" s="6" t="n">
        <v>135660.8419999735</v>
      </c>
      <c r="F39" s="7" t="n">
        <v>1.34928125369877</v>
      </c>
    </row>
    <row r="40">
      <c r="A40" s="5" t="n">
        <v>45444</v>
      </c>
      <c r="B40" s="4" t="inlineStr">
        <is>
          <t>Forecast</t>
        </is>
      </c>
      <c r="C40" s="6" t="n">
        <v>513758.1005126238</v>
      </c>
      <c r="D40" s="6" t="n">
        <v>382199.9945795</v>
      </c>
      <c r="E40" s="6" t="n">
        <v>131558.1059331238</v>
      </c>
      <c r="F40" s="7" t="n">
        <v>1.344212736260934</v>
      </c>
    </row>
    <row r="41">
      <c r="A41" s="5" t="n">
        <v>45474</v>
      </c>
      <c r="B41" s="4" t="inlineStr">
        <is>
          <t>Forecast</t>
        </is>
      </c>
      <c r="C41" s="6" t="n">
        <v>581944.1008502245</v>
      </c>
      <c r="D41" s="6" t="n">
        <v>432400.008989</v>
      </c>
      <c r="E41" s="6" t="n">
        <v>149544.0918612245</v>
      </c>
      <c r="F41" s="7" t="n">
        <v>1.345846643738226</v>
      </c>
    </row>
    <row r="42">
      <c r="A42" s="5" t="n">
        <v>45505</v>
      </c>
      <c r="B42" s="4" t="inlineStr">
        <is>
          <t>Forecast</t>
        </is>
      </c>
      <c r="C42" s="6" t="n">
        <v>615324.4254690409</v>
      </c>
      <c r="D42" s="6" t="n">
        <v>456599.9973875001</v>
      </c>
      <c r="E42" s="6" t="n">
        <v>158724.4280815408</v>
      </c>
      <c r="F42" s="7" t="n">
        <v>1.347622490121999</v>
      </c>
    </row>
    <row r="43">
      <c r="A43" s="5" t="n">
        <v>45536</v>
      </c>
      <c r="B43" s="4" t="inlineStr">
        <is>
          <t>Forecast</t>
        </is>
      </c>
      <c r="C43" s="6" t="n">
        <v>652846.3007676601</v>
      </c>
      <c r="D43" s="6" t="n">
        <v>462599.9966325</v>
      </c>
      <c r="E43" s="6" t="n">
        <v>190246.3041351601</v>
      </c>
      <c r="F43" s="7" t="n">
        <v>1.411254443406959</v>
      </c>
    </row>
    <row r="44">
      <c r="A44" s="5" t="n">
        <v>45566</v>
      </c>
      <c r="B44" s="4" t="inlineStr">
        <is>
          <t>Forecast</t>
        </is>
      </c>
      <c r="C44" s="6" t="n">
        <v>699954.0507042408</v>
      </c>
      <c r="D44" s="6" t="n">
        <v>520199.9860195001</v>
      </c>
      <c r="E44" s="6" t="n">
        <v>179754.0646847407</v>
      </c>
      <c r="F44" s="7" t="n">
        <v>1.345547999837898</v>
      </c>
    </row>
    <row r="45">
      <c r="A45" s="5" t="n">
        <v>45597</v>
      </c>
      <c r="B45" s="4" t="inlineStr">
        <is>
          <t>Forecast</t>
        </is>
      </c>
      <c r="C45" s="6" t="n">
        <v>746169.200694561</v>
      </c>
      <c r="D45" s="6" t="n">
        <v>583899.9910299999</v>
      </c>
      <c r="E45" s="6" t="n">
        <v>162269.2096645611</v>
      </c>
      <c r="F45" s="7" t="n">
        <v>1.277905826609653</v>
      </c>
    </row>
    <row r="46">
      <c r="A46" s="5" t="n">
        <v>45627</v>
      </c>
      <c r="B46" s="4" t="inlineStr">
        <is>
          <t>Forecast</t>
        </is>
      </c>
      <c r="C46" s="6" t="n">
        <v>815754.1511368752</v>
      </c>
      <c r="D46" s="6" t="n">
        <v>637499.9949784999</v>
      </c>
      <c r="E46" s="6" t="n">
        <v>178254.1561583752</v>
      </c>
      <c r="F46" s="7" t="n">
        <v>1.279614364803857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25" customWidth="1" min="4" max="4"/>
    <col width="21" customWidth="1" min="5" max="5"/>
    <col width="12" customWidth="1" min="6" max="6"/>
    <col width="42" customWidth="1" min="7" max="7"/>
  </cols>
  <sheetData>
    <row r="1">
      <c r="A1" s="1" t="inlineStr">
        <is>
          <t>Validation and reconciliation</t>
        </is>
      </c>
    </row>
    <row r="2">
      <c r="A2" s="2" t="inlineStr">
        <is>
          <t>PASS means zero failures. WARN means the condition was found, quarantined and reported - it does not stop publication. FAIL stops the build and there are none.</t>
        </is>
      </c>
    </row>
    <row r="4">
      <c r="A4" s="8" t="inlineStr">
        <is>
          <t>Commercial-layer validation</t>
        </is>
      </c>
    </row>
    <row r="6">
      <c r="A6" s="3" t="inlineStr">
        <is>
          <t>Check</t>
        </is>
      </c>
      <c r="B6" s="3" t="inlineStr">
        <is>
          <t>Layer</t>
        </is>
      </c>
      <c r="C6" s="3" t="inlineStr">
        <is>
          <t>Severity</t>
        </is>
      </c>
      <c r="D6" s="3" t="inlineStr">
        <is>
          <t>Failures</t>
        </is>
      </c>
      <c r="E6" s="3" t="inlineStr">
        <is>
          <t>Rows checked</t>
        </is>
      </c>
      <c r="F6" s="3" t="inlineStr">
        <is>
          <t>Status</t>
        </is>
      </c>
      <c r="G6" s="3" t="inlineStr">
        <is>
          <t>What it protects</t>
        </is>
      </c>
    </row>
    <row r="7">
      <c r="A7" s="4" t="inlineStr">
        <is>
          <t>plan_country_key_clean</t>
        </is>
      </c>
      <c r="B7" s="4" t="inlineStr">
        <is>
          <t>stg</t>
        </is>
      </c>
      <c r="C7" s="4" t="inlineStr">
        <is>
          <t>MEDIUM</t>
        </is>
      </c>
      <c r="D7" s="6" t="n">
        <v>7</v>
      </c>
      <c r="E7" s="6" t="n">
        <v>292</v>
      </c>
      <c r="F7" s="4" t="inlineStr">
        <is>
          <t>WARN</t>
        </is>
      </c>
      <c r="G7" s="4" t="inlineStr">
        <is>
          <t>Whitespace in a join key silently creates an unmatched market</t>
        </is>
      </c>
    </row>
    <row r="8">
      <c r="A8" s="4" t="inlineStr">
        <is>
          <t>plan_month_coverage_contiguous</t>
        </is>
      </c>
      <c r="B8" s="4" t="inlineStr">
        <is>
          <t>core</t>
        </is>
      </c>
      <c r="C8" s="4" t="inlineStr">
        <is>
          <t>HIGH</t>
        </is>
      </c>
      <c r="D8" s="6" t="n">
        <v>24</v>
      </c>
      <c r="E8" s="6" t="n">
        <v>287</v>
      </c>
      <c r="F8" s="4" t="inlineStr">
        <is>
          <t>WARN</t>
        </is>
      </c>
      <c r="G8" s="4" t="inlineStr">
        <is>
          <t>A gap means a region submitted late or skipped a period</t>
        </is>
      </c>
    </row>
    <row r="9">
      <c r="A9" s="4" t="inlineStr">
        <is>
          <t>plan_target_not_blank</t>
        </is>
      </c>
      <c r="B9" s="4" t="inlineStr">
        <is>
          <t>stg</t>
        </is>
      </c>
      <c r="C9" s="4" t="inlineStr">
        <is>
          <t>HIGH</t>
        </is>
      </c>
      <c r="D9" s="6" t="n">
        <v>4</v>
      </c>
      <c r="E9" s="6" t="n">
        <v>292</v>
      </c>
      <c r="F9" s="4" t="inlineStr">
        <is>
          <t>WARN</t>
        </is>
      </c>
      <c r="G9" s="4" t="inlineStr">
        <is>
          <t>Blank plan cells are quarantined and returned to the submitting region</t>
        </is>
      </c>
    </row>
    <row r="10">
      <c r="A10" s="4" t="inlineStr">
        <is>
          <t>plan_target_not_negative</t>
        </is>
      </c>
      <c r="B10" s="4" t="inlineStr">
        <is>
          <t>stg</t>
        </is>
      </c>
      <c r="C10" s="4" t="inlineStr">
        <is>
          <t>HIGH</t>
        </is>
      </c>
      <c r="D10" s="6" t="n">
        <v>1</v>
      </c>
      <c r="E10" s="6" t="n">
        <v>292</v>
      </c>
      <c r="F10" s="4" t="inlineStr">
        <is>
          <t>WARN</t>
        </is>
      </c>
      <c r="G10" s="4" t="inlineStr">
        <is>
          <t>Negative targets indicate a sign error in the submitted file</t>
        </is>
      </c>
    </row>
    <row r="11">
      <c r="A11" s="4" t="inlineStr">
        <is>
          <t>actuals_tie_to_fact_order_item</t>
        </is>
      </c>
      <c r="B11" s="4" t="inlineStr">
        <is>
          <t>mart</t>
        </is>
      </c>
      <c r="C11" s="4" t="inlineStr">
        <is>
          <t>CRITICAL</t>
        </is>
      </c>
      <c r="D11" s="6" t="n">
        <v>0</v>
      </c>
      <c r="E11" s="6" t="n">
        <v>1</v>
      </c>
      <c r="F11" s="4" t="inlineStr">
        <is>
          <t>PASS</t>
        </is>
      </c>
      <c r="G11" s="4" t="inlineStr">
        <is>
          <t>Country-grain actuals reconcile to the item fact with no leakage</t>
        </is>
      </c>
    </row>
    <row r="12">
      <c r="A12" s="4" t="inlineStr">
        <is>
          <t>plan_consolidation_ties_to_submissions</t>
        </is>
      </c>
      <c r="B12" s="4" t="inlineStr">
        <is>
          <t>core</t>
        </is>
      </c>
      <c r="C12" s="4" t="inlineStr">
        <is>
          <t>CRITICAL</t>
        </is>
      </c>
      <c r="D12" s="6" t="n">
        <v>0</v>
      </c>
      <c r="E12" s="6" t="n">
        <v>1</v>
      </c>
      <c r="F12" s="4" t="inlineStr">
        <is>
          <t>PASS</t>
        </is>
      </c>
      <c r="G12" s="4" t="inlineStr">
        <is>
          <t>Consolidated plan equals the sum of accepted submission rows</t>
        </is>
      </c>
    </row>
    <row r="13">
      <c r="A13" s="4" t="inlineStr">
        <is>
          <t>plan_country_resolves_to_master</t>
        </is>
      </c>
      <c r="B13" s="4" t="inlineStr">
        <is>
          <t>stg</t>
        </is>
      </c>
      <c r="C13" s="4" t="inlineStr">
        <is>
          <t>CRITICAL</t>
        </is>
      </c>
      <c r="D13" s="6" t="n">
        <v>0</v>
      </c>
      <c r="E13" s="6" t="n">
        <v>292</v>
      </c>
      <c r="F13" s="4" t="inlineStr">
        <is>
          <t>PASS</t>
        </is>
      </c>
      <c r="G13" s="4" t="inlineStr">
        <is>
          <t>Every submitted country spelling maps to a canonical country</t>
        </is>
      </c>
    </row>
    <row r="14">
      <c r="A14" s="4" t="inlineStr">
        <is>
          <t>plan_currency_has_budget_rate</t>
        </is>
      </c>
      <c r="B14" s="4" t="inlineStr">
        <is>
          <t>stg</t>
        </is>
      </c>
      <c r="C14" s="4" t="inlineStr">
        <is>
          <t>CRITICAL</t>
        </is>
      </c>
      <c r="D14" s="6" t="n">
        <v>0</v>
      </c>
      <c r="E14" s="6" t="n">
        <v>292</v>
      </c>
      <c r="F14" s="4" t="inlineStr">
        <is>
          <t>PASS</t>
        </is>
      </c>
      <c r="G14" s="4" t="inlineStr">
        <is>
          <t>Every submitted currency has a budget FX rate</t>
        </is>
      </c>
    </row>
    <row r="15">
      <c r="A15" s="4" t="inlineStr">
        <is>
          <t>plan_fx_conversion_reconciles</t>
        </is>
      </c>
      <c r="B15" s="4" t="inlineStr">
        <is>
          <t>stg</t>
        </is>
      </c>
      <c r="C15" s="4" t="inlineStr">
        <is>
          <t>CRITICAL</t>
        </is>
      </c>
      <c r="D15" s="6" t="n">
        <v>0</v>
      </c>
      <c r="E15" s="6" t="n">
        <v>292</v>
      </c>
      <c r="F15" s="4" t="inlineStr">
        <is>
          <t>PASS</t>
        </is>
      </c>
      <c r="G15" s="4" t="inlineStr">
        <is>
          <t>Local-to-USD conversion reproduces exactly at the budget rate</t>
        </is>
      </c>
    </row>
    <row r="16">
      <c r="A16" s="4" t="inlineStr">
        <is>
          <t>plan_grain_unique_country_month</t>
        </is>
      </c>
      <c r="B16" s="4" t="inlineStr">
        <is>
          <t>core</t>
        </is>
      </c>
      <c r="C16" s="4" t="inlineStr">
        <is>
          <t>CRITICAL</t>
        </is>
      </c>
      <c r="D16" s="6" t="n">
        <v>0</v>
      </c>
      <c r="E16" s="6" t="n">
        <v>287</v>
      </c>
      <c r="F16" s="4" t="inlineStr">
        <is>
          <t>PASS</t>
        </is>
      </c>
      <c r="G16" s="4" t="inlineStr">
        <is>
          <t>fact_plan holds one row per country per month</t>
        </is>
      </c>
    </row>
    <row r="17">
      <c r="A17" s="4" t="inlineStr">
        <is>
          <t>pvm_decomposition_is_exact</t>
        </is>
      </c>
      <c r="B17" s="4" t="inlineStr">
        <is>
          <t>mart</t>
        </is>
      </c>
      <c r="C17" s="4" t="inlineStr">
        <is>
          <t>CRITICAL</t>
        </is>
      </c>
      <c r="D17" s="6" t="n">
        <v>0</v>
      </c>
      <c r="E17" s="6" t="n">
        <v>3</v>
      </c>
      <c r="F17" s="4" t="inlineStr">
        <is>
          <t>PASS</t>
        </is>
      </c>
      <c r="G17" s="4" t="inlineStr">
        <is>
          <t>Volume + mix + price effects sum back to total variance per comparison</t>
        </is>
      </c>
    </row>
    <row r="18">
      <c r="A18" s="4" t="inlineStr">
        <is>
          <t>scorecard_has_reporting_month</t>
        </is>
      </c>
      <c r="B18" s="4" t="inlineStr">
        <is>
          <t>mart</t>
        </is>
      </c>
      <c r="C18" s="4" t="inlineStr">
        <is>
          <t>HIGH</t>
        </is>
      </c>
      <c r="D18" s="6" t="n">
        <v>0</v>
      </c>
      <c r="E18" s="6" t="n">
        <v>9</v>
      </c>
      <c r="F18" s="4" t="inlineStr">
        <is>
          <t>PASS</t>
        </is>
      </c>
      <c r="G18" s="4" t="inlineStr">
        <is>
          <t>Every scorecard KPI resolved a value for the reporting month</t>
        </is>
      </c>
    </row>
    <row r="21">
      <c r="A21" s="8" t="inlineStr">
        <is>
          <t>End-to-end reconciliation</t>
        </is>
      </c>
    </row>
    <row r="23">
      <c r="A23" s="3" t="inlineStr">
        <is>
          <t>Stream</t>
        </is>
      </c>
      <c r="B23" s="3" t="inlineStr">
        <is>
          <t>Stage</t>
        </is>
      </c>
      <c r="C23" s="3" t="inlineStr">
        <is>
          <t>Entity</t>
        </is>
      </c>
      <c r="D23" s="3" t="inlineStr">
        <is>
          <t>Rows</t>
        </is>
      </c>
      <c r="E23" s="3" t="inlineStr">
        <is>
          <t>Value USD</t>
        </is>
      </c>
      <c r="F23" s="3" t="inlineStr">
        <is>
          <t>Row delta</t>
        </is>
      </c>
      <c r="G23" s="3" t="inlineStr">
        <is>
          <t>Expectation</t>
        </is>
      </c>
    </row>
    <row r="24">
      <c r="A24" s="4" t="inlineStr">
        <is>
          <t>Plan</t>
        </is>
      </c>
      <c r="B24" s="4" t="inlineStr">
        <is>
          <t>Source file</t>
        </is>
      </c>
      <c r="C24" s="4" t="inlineStr">
        <is>
          <t>regional_plan_submissions.csv</t>
        </is>
      </c>
      <c r="D24" s="6" t="n">
        <v>292</v>
      </c>
      <c r="E24" s="6" t="n"/>
      <c r="F24" s="6" t="n"/>
      <c r="G24" s="4" t="inlineStr">
        <is>
          <t>Submitted in local currency - no USD value yet</t>
        </is>
      </c>
    </row>
    <row r="25">
      <c r="A25" s="4" t="inlineStr">
        <is>
          <t>Plan</t>
        </is>
      </c>
      <c r="B25" s="4" t="inlineStr">
        <is>
          <t>stg</t>
        </is>
      </c>
      <c r="C25" s="4" t="inlineStr">
        <is>
          <t>stg.plan_submissions</t>
        </is>
      </c>
      <c r="D25" s="6" t="n">
        <v>292</v>
      </c>
      <c r="E25" s="6" t="n">
        <v>8078399.975456504</v>
      </c>
      <c r="F25" s="6" t="n">
        <v>0</v>
      </c>
      <c r="G25" s="4" t="inlineStr">
        <is>
          <t>Harmonised and FX-converted - row count must equal source</t>
        </is>
      </c>
    </row>
    <row r="26">
      <c r="A26" s="4" t="inlineStr">
        <is>
          <t>Plan</t>
        </is>
      </c>
      <c r="B26" s="4" t="inlineStr">
        <is>
          <t>qa</t>
        </is>
      </c>
      <c r="C26" s="4" t="inlineStr">
        <is>
          <t>qa.plan_rejects</t>
        </is>
      </c>
      <c r="D26" s="6" t="n">
        <v>5</v>
      </c>
      <c r="E26" s="6" t="n"/>
      <c r="F26" s="6" t="n">
        <v>-287</v>
      </c>
      <c r="G26" s="4" t="inlineStr">
        <is>
          <t>Quarantined rows, reported back to the submitting region</t>
        </is>
      </c>
    </row>
    <row r="27">
      <c r="A27" s="4" t="inlineStr">
        <is>
          <t>Plan</t>
        </is>
      </c>
      <c r="B27" s="4" t="inlineStr">
        <is>
          <t>core</t>
        </is>
      </c>
      <c r="C27" s="4" t="inlineStr">
        <is>
          <t>core.fact_plan</t>
        </is>
      </c>
      <c r="D27" s="6" t="n">
        <v>287</v>
      </c>
      <c r="E27" s="6" t="n">
        <v>8081299.980656502</v>
      </c>
      <c r="F27" s="6" t="n">
        <v>282</v>
      </c>
      <c r="G27" s="4" t="inlineStr">
        <is>
          <t>Accepted rows only - source rows minus rejects</t>
        </is>
      </c>
    </row>
    <row r="28">
      <c r="A28" s="4" t="inlineStr">
        <is>
          <t>Sales</t>
        </is>
      </c>
      <c r="B28" s="4" t="inlineStr">
        <is>
          <t>Source file</t>
        </is>
      </c>
      <c r="C28" s="4" t="inlineStr">
        <is>
          <t>order_items.csv</t>
        </is>
      </c>
      <c r="D28" s="6" t="n">
        <v>180862</v>
      </c>
      <c r="E28" s="6" t="n">
        <v>10796335.70133127</v>
      </c>
      <c r="F28" s="6" t="n"/>
      <c r="G28" s="4" t="inlineStr">
        <is>
          <t>Baseline: rows and gross value as delivered</t>
        </is>
      </c>
    </row>
    <row r="29">
      <c r="A29" s="4" t="inlineStr">
        <is>
          <t>Sales</t>
        </is>
      </c>
      <c r="B29" s="4" t="inlineStr">
        <is>
          <t>stg</t>
        </is>
      </c>
      <c r="C29" s="4" t="inlineStr">
        <is>
          <t>stg.order_items</t>
        </is>
      </c>
      <c r="D29" s="6" t="n">
        <v>180862</v>
      </c>
      <c r="E29" s="6" t="n">
        <v>10796335.70133127</v>
      </c>
      <c r="F29" s="6" t="n">
        <v>0</v>
      </c>
      <c r="G29" s="4" t="inlineStr">
        <is>
          <t>Typing and renaming only - must equal source</t>
        </is>
      </c>
    </row>
    <row r="30">
      <c r="A30" s="4" t="inlineStr">
        <is>
          <t>Sales</t>
        </is>
      </c>
      <c r="B30" s="4" t="inlineStr">
        <is>
          <t>core</t>
        </is>
      </c>
      <c r="C30" s="4" t="inlineStr">
        <is>
          <t>core.fact_order_item</t>
        </is>
      </c>
      <c r="D30" s="6" t="n">
        <v>180862</v>
      </c>
      <c r="E30" s="6" t="n">
        <v>10796335.70133127</v>
      </c>
      <c r="F30" s="6" t="n">
        <v>0</v>
      </c>
      <c r="G30" s="4" t="inlineStr">
        <is>
          <t>Joins to product and customer - must not drop rows</t>
        </is>
      </c>
    </row>
    <row r="31">
      <c r="A31" s="4" t="inlineStr">
        <is>
          <t>Sales</t>
        </is>
      </c>
      <c r="B31" s="4" t="inlineStr">
        <is>
          <t>mart</t>
        </is>
      </c>
      <c r="C31" s="4" t="inlineStr">
        <is>
          <t>mart.actual_country_month</t>
        </is>
      </c>
      <c r="D31" s="6" t="n">
        <v>135749</v>
      </c>
      <c r="E31" s="6" t="n">
        <v>10796335.70133127</v>
      </c>
      <c r="F31" s="6" t="n">
        <v>-45113</v>
      </c>
      <c r="G31" s="4" t="inlineStr">
        <is>
          <t>Aggregated to country x month - gross value must still tie</t>
        </is>
      </c>
    </row>
    <row r="34">
      <c r="A34" s="8" t="inlineStr">
        <is>
          <t>Quarantined plan rows to return to the submitting region</t>
        </is>
      </c>
    </row>
    <row r="36">
      <c r="A36" s="3" t="inlineStr">
        <is>
          <t>Submitted country</t>
        </is>
      </c>
      <c r="B36" s="3" t="inlineStr">
        <is>
          <t>Plan month</t>
        </is>
      </c>
      <c r="C36" s="3" t="inlineStr">
        <is>
          <t>Currency</t>
        </is>
      </c>
      <c r="D36" s="3" t="inlineStr">
        <is>
          <t>Reject reason</t>
        </is>
      </c>
    </row>
    <row r="37">
      <c r="A37" s="4" t="inlineStr">
        <is>
          <t>Australia</t>
        </is>
      </c>
      <c r="B37" s="5" t="n">
        <v>45323</v>
      </c>
      <c r="C37" s="4" t="inlineStr">
        <is>
          <t>AUD</t>
        </is>
      </c>
      <c r="D37" s="4" t="inlineStr">
        <is>
          <t>Plan value is blank</t>
        </is>
      </c>
    </row>
    <row r="38">
      <c r="A38" s="4" t="inlineStr">
        <is>
          <t>France</t>
        </is>
      </c>
      <c r="B38" s="5" t="n">
        <v>45139</v>
      </c>
      <c r="C38" s="4" t="inlineStr">
        <is>
          <t>EUR</t>
        </is>
      </c>
      <c r="D38" s="4" t="inlineStr">
        <is>
          <t>Plan value is blank</t>
        </is>
      </c>
    </row>
    <row r="39">
      <c r="A39" s="4" t="inlineStr">
        <is>
          <t>Japan</t>
        </is>
      </c>
      <c r="B39" s="5" t="n">
        <v>45231</v>
      </c>
      <c r="C39" s="4" t="inlineStr">
        <is>
          <t>JPY</t>
        </is>
      </c>
      <c r="D39" s="4" t="inlineStr">
        <is>
          <t>Plan value is blank</t>
        </is>
      </c>
    </row>
    <row r="40">
      <c r="A40" s="4" t="inlineStr">
        <is>
          <t>United Kingdom</t>
        </is>
      </c>
      <c r="B40" s="5" t="n">
        <v>45536</v>
      </c>
      <c r="C40" s="4" t="inlineStr">
        <is>
          <t>GBP</t>
        </is>
      </c>
      <c r="D40" s="4" t="inlineStr">
        <is>
          <t>Plan value is blank</t>
        </is>
      </c>
    </row>
    <row r="41">
      <c r="A41" s="4" t="inlineStr">
        <is>
          <t>Belgium</t>
        </is>
      </c>
      <c r="B41" s="5" t="n">
        <v>45047</v>
      </c>
      <c r="C41" s="4" t="inlineStr">
        <is>
          <t>EUR</t>
        </is>
      </c>
      <c r="D41" s="4" t="inlineStr">
        <is>
          <t>Plan value is 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40" customWidth="1" min="3" max="3"/>
  </cols>
  <sheetData>
    <row r="1">
      <c r="A1" s="1" t="inlineStr">
        <is>
          <t>Metric definitions and assumptions</t>
        </is>
      </c>
    </row>
    <row r="3">
      <c r="A3" s="8" t="inlineStr">
        <is>
          <t>Definitions</t>
        </is>
      </c>
    </row>
    <row r="5">
      <c r="A5" s="3" t="inlineStr">
        <is>
          <t>Metric</t>
        </is>
      </c>
      <c r="B5" s="3" t="inlineStr">
        <is>
          <t>Definition</t>
        </is>
      </c>
      <c r="C5" s="3" t="inlineStr">
        <is>
          <t>Source</t>
        </is>
      </c>
    </row>
    <row r="6">
      <c r="A6" s="4" t="inlineStr">
        <is>
          <t>Net Sales</t>
        </is>
      </c>
      <c r="B6" s="4" t="inlineStr">
        <is>
          <t>Item value excluding Cancelled and Returned items.</t>
        </is>
      </c>
      <c r="C6" s="4" t="inlineStr">
        <is>
          <t>core.fact_order_item.net_sales_value</t>
        </is>
      </c>
    </row>
    <row r="7">
      <c r="A7" s="4" t="inlineStr">
        <is>
          <t>Net Profit</t>
        </is>
      </c>
      <c r="B7" s="4" t="inlineStr">
        <is>
          <t>Net sales minus unit cost on the same eligible items.</t>
        </is>
      </c>
      <c r="C7" s="4" t="inlineStr">
        <is>
          <t>core.fact_order_item.net_profit_value</t>
        </is>
      </c>
    </row>
    <row r="8">
      <c r="A8" s="4" t="inlineStr">
        <is>
          <t>Units</t>
        </is>
      </c>
      <c r="B8" s="4" t="inlineStr">
        <is>
          <t>Count of order-item rows that are neither cancelled nor returned.</t>
        </is>
      </c>
      <c r="C8" s="4" t="inlineStr">
        <is>
          <t>core.fact_order_item</t>
        </is>
      </c>
    </row>
    <row r="9">
      <c r="A9" s="4" t="inlineStr">
        <is>
          <t>ASP</t>
        </is>
      </c>
      <c r="B9" s="4" t="inlineStr">
        <is>
          <t>Net sales divided by units, computed within each category and period.</t>
        </is>
      </c>
      <c r="C9" s="4" t="inlineStr">
        <is>
          <t>mart.price_volume_mix</t>
        </is>
      </c>
    </row>
    <row r="10">
      <c r="A10" s="4" t="inlineStr">
        <is>
          <t>Volume effect</t>
        </is>
      </c>
      <c r="B10" s="4" t="inlineStr">
        <is>
          <t>(Q1 - Q0) x prior mix share x prior ASP.</t>
        </is>
      </c>
      <c r="C10" s="4" t="inlineStr">
        <is>
          <t>mart.price_volume_mix</t>
        </is>
      </c>
    </row>
    <row r="11">
      <c r="A11" s="4" t="inlineStr">
        <is>
          <t>Mix effect</t>
        </is>
      </c>
      <c r="B11" s="4" t="inlineStr">
        <is>
          <t>Q1 x (current share - prior share) x prior ASP.</t>
        </is>
      </c>
      <c r="C11" s="4" t="inlineStr">
        <is>
          <t>mart.price_volume_mix</t>
        </is>
      </c>
    </row>
    <row r="12">
      <c r="A12" s="4" t="inlineStr">
        <is>
          <t>Price effect</t>
        </is>
      </c>
      <c r="B12" s="4" t="inlineStr">
        <is>
          <t>Current units x (current ASP - prior ASP).</t>
        </is>
      </c>
      <c r="C12" s="4" t="inlineStr">
        <is>
          <t>mart.price_volume_mix</t>
        </is>
      </c>
    </row>
    <row r="13">
      <c r="A13" s="4" t="inlineStr">
        <is>
          <t>Plan</t>
        </is>
      </c>
      <c r="B13" s="4" t="inlineStr">
        <is>
          <t>Regional submission in local currency, converted at a fixed budget FX rate set at the open of the planning cycle.</t>
        </is>
      </c>
      <c r="C13" s="4" t="inlineStr">
        <is>
          <t>core.fact_plan</t>
        </is>
      </c>
    </row>
    <row r="14">
      <c r="A14" s="4" t="inlineStr">
        <is>
          <t>Achievement</t>
        </is>
      </c>
      <c r="B14" s="4" t="inlineStr">
        <is>
          <t>Actual net sales divided by plan net sales, USD.</t>
        </is>
      </c>
      <c r="C14" s="4" t="inlineStr">
        <is>
          <t>mart.plan_vs_actual_monthly</t>
        </is>
      </c>
    </row>
    <row r="15">
      <c r="A15" s="4" t="inlineStr">
        <is>
          <t>Complete month</t>
        </is>
      </c>
      <c r="B15" s="4" t="inlineStr">
        <is>
          <t>Any month before the maximum source month, which is partial.</t>
        </is>
      </c>
      <c r="C15" s="4" t="inlineStr">
        <is>
          <t>core.dim_date.is_complete_month</t>
        </is>
      </c>
    </row>
    <row r="16">
      <c r="A16" s="4" t="inlineStr">
        <is>
          <t>Fiscal year</t>
        </is>
      </c>
      <c r="B16" s="4" t="inlineStr">
        <is>
          <t>Group fiscal year starting 1 October. FY2024 = Oct 2023 to Sep 2024.</t>
        </is>
      </c>
      <c r="C16" s="4" t="inlineStr">
        <is>
          <t>core.dim_date.fiscal_year</t>
        </is>
      </c>
    </row>
    <row r="19">
      <c r="A19" s="8" t="inlineStr">
        <is>
          <t>Stated assumptions and limitations</t>
        </is>
      </c>
    </row>
    <row r="21">
      <c r="A21" s="3" t="inlineStr">
        <is>
          <t>Assumption</t>
        </is>
      </c>
      <c r="B21" s="3" t="inlineStr">
        <is>
          <t>Statement</t>
        </is>
      </c>
    </row>
    <row r="22">
      <c r="A22" s="4" t="inlineStr">
        <is>
          <t>Plan data is constructed</t>
        </is>
      </c>
      <c r="B22" s="4" t="inlineStr">
        <is>
          <t>TheLook ships no budget data. The planning file is generated by src/build_plan_source.py from a stated, reproducible rule and is labelled as a constructed scenario everywhere it appears.</t>
        </is>
      </c>
    </row>
    <row r="23">
      <c r="A23" s="4" t="inlineStr">
        <is>
          <t>Dataset is synthetic</t>
        </is>
      </c>
      <c r="B23" s="4" t="inlineStr">
        <is>
          <t>Patterns reflect the data generator, not a real market. The transferable value is the method.</t>
        </is>
      </c>
    </row>
    <row r="24">
      <c r="A24" s="4" t="inlineStr">
        <is>
          <t>Forecast accuracy is optimistic</t>
        </is>
      </c>
      <c r="B24" s="4" t="inlineStr">
        <is>
          <t>Synthetic growth is smoother than real demand; expect materially worse MAPE on real retail data.</t>
        </is>
      </c>
    </row>
    <row r="25">
      <c r="A25" s="4" t="inlineStr">
        <is>
          <t>Fiscal year start is an assumption</t>
        </is>
      </c>
      <c r="B25" s="4" t="inlineStr">
        <is>
          <t>Set to October in sql/duckdb/02_core_dimensions.sql. Changing one number re-bases every fiscal column.</t>
        </is>
      </c>
    </row>
    <row r="26">
      <c r="A26" s="4" t="inlineStr">
        <is>
          <t>No promotion or discount field</t>
        </is>
      </c>
      <c r="B26" s="4" t="inlineStr">
        <is>
          <t>Price elasticity and promotion lift cannot be estimated on this dataset. See docs/commercial_analytics.md.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2026-10-14T06:15:30Z</dcterms:created>
  <dcterms:modified xmlns:dcterms="http://purl.org/dc/terms/" xmlns:xsi="http://www.w3.org/2001/XMLSchema-instance" xsi:type="dcterms:W3CDTF">2026-10-14T06:15:30Z</dcterms:modified>
</cp:coreProperties>
</file>